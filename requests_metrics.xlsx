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a36bfeef2d0ccb/Desktop/SAD ASSIGNMENTS/"/>
    </mc:Choice>
  </mc:AlternateContent>
  <xr:revisionPtr revIDLastSave="12" documentId="13_ncr:1_{BC831021-D1EE-4654-8ACA-122F6696F6BF}" xr6:coauthVersionLast="47" xr6:coauthVersionMax="47" xr10:uidLastSave="{DBA8FB0D-A603-4AC7-ACA7-68238BB29200}"/>
  <bookViews>
    <workbookView xWindow="-110" yWindow="-110" windowWidth="19420" windowHeight="11500" activeTab="1" xr2:uid="{BCBE951D-81EB-425E-AA8A-4C7ED055D5B0}"/>
  </bookViews>
  <sheets>
    <sheet name="requests_metrics" sheetId="1" r:id="rId1"/>
    <sheet name="TCC_CDF" sheetId="7" r:id="rId2"/>
    <sheet name="NLC_CDF" sheetId="6" r:id="rId3"/>
    <sheet name="CHANGES_CDF" sheetId="5" r:id="rId4"/>
    <sheet name="FANOUT_CDF" sheetId="4" r:id="rId5"/>
    <sheet name="CBO_CDF" sheetId="3" r:id="rId6"/>
    <sheet name="LCOM_CDF" sheetId="2" r:id="rId7"/>
  </sheets>
  <definedNames>
    <definedName name="_xlchart.v1.0" hidden="1">requests_metrics!$E$1</definedName>
    <definedName name="_xlchart.v1.1" hidden="1">requests_metrics!$E$2:$E$88</definedName>
    <definedName name="_xlchart.v1.10" hidden="1">requests_metrics!$G$1</definedName>
    <definedName name="_xlchart.v1.11" hidden="1">requests_metrics!$G$2:$G$88</definedName>
    <definedName name="_xlchart.v1.2" hidden="1">requests_metrics!$F$1</definedName>
    <definedName name="_xlchart.v1.3" hidden="1">requests_metrics!$F$2:$F$88</definedName>
    <definedName name="_xlchart.v1.4" hidden="1">requests_metrics!$N$1</definedName>
    <definedName name="_xlchart.v1.5" hidden="1">requests_metrics!$N$2:$N$88</definedName>
    <definedName name="_xlchart.v1.6" hidden="1">requests_metrics!$H$1</definedName>
    <definedName name="_xlchart.v1.7" hidden="1">requests_metrics!$H$2:$H$88</definedName>
    <definedName name="_xlchart.v1.8" hidden="1">requests_metrics!$K$1</definedName>
    <definedName name="_xlchart.v1.9" hidden="1">requests_metrics!$K$2:$K$88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C2" i="7"/>
  <c r="B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C2" i="6"/>
  <c r="B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C2" i="5"/>
  <c r="B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C2" i="4"/>
  <c r="B2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2" i="2"/>
  <c r="C14" i="3"/>
  <c r="C15" i="3"/>
  <c r="C16" i="3"/>
  <c r="C28" i="3"/>
  <c r="C29" i="3"/>
  <c r="C30" i="3"/>
  <c r="C42" i="3"/>
  <c r="C43" i="3"/>
  <c r="C44" i="3"/>
  <c r="C56" i="3"/>
  <c r="C57" i="3"/>
  <c r="C58" i="3"/>
  <c r="C70" i="3"/>
  <c r="C71" i="3"/>
  <c r="C72" i="3"/>
  <c r="C84" i="3"/>
  <c r="C85" i="3"/>
  <c r="C86" i="3"/>
  <c r="C87" i="3"/>
  <c r="C2" i="3"/>
  <c r="B3" i="3"/>
  <c r="B4" i="3"/>
  <c r="C3" i="3" s="1"/>
  <c r="B5" i="3"/>
  <c r="C4" i="3" s="1"/>
  <c r="B6" i="3"/>
  <c r="C5" i="3" s="1"/>
  <c r="B7" i="3"/>
  <c r="C6" i="3" s="1"/>
  <c r="B8" i="3"/>
  <c r="C7" i="3" s="1"/>
  <c r="B9" i="3"/>
  <c r="C8" i="3" s="1"/>
  <c r="B10" i="3"/>
  <c r="C9" i="3" s="1"/>
  <c r="B11" i="3"/>
  <c r="C10" i="3" s="1"/>
  <c r="B12" i="3"/>
  <c r="C11" i="3" s="1"/>
  <c r="B13" i="3"/>
  <c r="C12" i="3" s="1"/>
  <c r="B14" i="3"/>
  <c r="C13" i="3" s="1"/>
  <c r="B15" i="3"/>
  <c r="B16" i="3"/>
  <c r="B17" i="3"/>
  <c r="B18" i="3"/>
  <c r="C17" i="3" s="1"/>
  <c r="B19" i="3"/>
  <c r="C18" i="3" s="1"/>
  <c r="B20" i="3"/>
  <c r="C19" i="3" s="1"/>
  <c r="B21" i="3"/>
  <c r="C20" i="3" s="1"/>
  <c r="B22" i="3"/>
  <c r="C21" i="3" s="1"/>
  <c r="B23" i="3"/>
  <c r="C22" i="3" s="1"/>
  <c r="B24" i="3"/>
  <c r="C23" i="3" s="1"/>
  <c r="B25" i="3"/>
  <c r="C24" i="3" s="1"/>
  <c r="B26" i="3"/>
  <c r="C25" i="3" s="1"/>
  <c r="B27" i="3"/>
  <c r="C26" i="3" s="1"/>
  <c r="B28" i="3"/>
  <c r="C27" i="3" s="1"/>
  <c r="B29" i="3"/>
  <c r="B30" i="3"/>
  <c r="B31" i="3"/>
  <c r="B32" i="3"/>
  <c r="C31" i="3" s="1"/>
  <c r="B33" i="3"/>
  <c r="C32" i="3" s="1"/>
  <c r="B34" i="3"/>
  <c r="C33" i="3" s="1"/>
  <c r="B35" i="3"/>
  <c r="C34" i="3" s="1"/>
  <c r="B36" i="3"/>
  <c r="C35" i="3" s="1"/>
  <c r="B37" i="3"/>
  <c r="C36" i="3" s="1"/>
  <c r="B38" i="3"/>
  <c r="C37" i="3" s="1"/>
  <c r="B39" i="3"/>
  <c r="C38" i="3" s="1"/>
  <c r="B40" i="3"/>
  <c r="C39" i="3" s="1"/>
  <c r="B41" i="3"/>
  <c r="C40" i="3" s="1"/>
  <c r="B42" i="3"/>
  <c r="C41" i="3" s="1"/>
  <c r="B43" i="3"/>
  <c r="B44" i="3"/>
  <c r="B45" i="3"/>
  <c r="B46" i="3"/>
  <c r="C45" i="3" s="1"/>
  <c r="B47" i="3"/>
  <c r="C46" i="3" s="1"/>
  <c r="B48" i="3"/>
  <c r="C47" i="3" s="1"/>
  <c r="B49" i="3"/>
  <c r="C48" i="3" s="1"/>
  <c r="B50" i="3"/>
  <c r="C49" i="3" s="1"/>
  <c r="B51" i="3"/>
  <c r="C50" i="3" s="1"/>
  <c r="B52" i="3"/>
  <c r="C51" i="3" s="1"/>
  <c r="B53" i="3"/>
  <c r="C52" i="3" s="1"/>
  <c r="B54" i="3"/>
  <c r="C53" i="3" s="1"/>
  <c r="B55" i="3"/>
  <c r="C54" i="3" s="1"/>
  <c r="B56" i="3"/>
  <c r="C55" i="3" s="1"/>
  <c r="B57" i="3"/>
  <c r="B58" i="3"/>
  <c r="B59" i="3"/>
  <c r="B60" i="3"/>
  <c r="C59" i="3" s="1"/>
  <c r="B61" i="3"/>
  <c r="C60" i="3" s="1"/>
  <c r="B62" i="3"/>
  <c r="C61" i="3" s="1"/>
  <c r="B63" i="3"/>
  <c r="C62" i="3" s="1"/>
  <c r="B64" i="3"/>
  <c r="C63" i="3" s="1"/>
  <c r="B65" i="3"/>
  <c r="C64" i="3" s="1"/>
  <c r="B66" i="3"/>
  <c r="C65" i="3" s="1"/>
  <c r="B67" i="3"/>
  <c r="C66" i="3" s="1"/>
  <c r="B68" i="3"/>
  <c r="C67" i="3" s="1"/>
  <c r="B69" i="3"/>
  <c r="C68" i="3" s="1"/>
  <c r="B70" i="3"/>
  <c r="C69" i="3" s="1"/>
  <c r="B71" i="3"/>
  <c r="B72" i="3"/>
  <c r="B73" i="3"/>
  <c r="B74" i="3"/>
  <c r="C73" i="3" s="1"/>
  <c r="B75" i="3"/>
  <c r="C74" i="3" s="1"/>
  <c r="B76" i="3"/>
  <c r="C75" i="3" s="1"/>
  <c r="B77" i="3"/>
  <c r="C76" i="3" s="1"/>
  <c r="B78" i="3"/>
  <c r="C77" i="3" s="1"/>
  <c r="B79" i="3"/>
  <c r="C78" i="3" s="1"/>
  <c r="B80" i="3"/>
  <c r="C79" i="3" s="1"/>
  <c r="B81" i="3"/>
  <c r="C80" i="3" s="1"/>
  <c r="B82" i="3"/>
  <c r="C81" i="3" s="1"/>
  <c r="B83" i="3"/>
  <c r="C82" i="3" s="1"/>
  <c r="B84" i="3"/>
  <c r="C83" i="3" s="1"/>
  <c r="B85" i="3"/>
  <c r="B86" i="3"/>
  <c r="B87" i="3"/>
  <c r="B2" i="3"/>
  <c r="P3" i="1"/>
  <c r="P4" i="1"/>
  <c r="P5" i="1"/>
  <c r="P6" i="1"/>
  <c r="U2" i="1"/>
  <c r="U3" i="1"/>
  <c r="U4" i="1"/>
  <c r="U5" i="1"/>
  <c r="U6" i="1"/>
  <c r="T2" i="1"/>
  <c r="T3" i="1"/>
  <c r="T4" i="1"/>
  <c r="T5" i="1"/>
  <c r="T6" i="1"/>
  <c r="S2" i="1"/>
  <c r="S3" i="1"/>
  <c r="S4" i="1"/>
  <c r="S5" i="1"/>
  <c r="S6" i="1"/>
  <c r="R2" i="1"/>
  <c r="R3" i="1"/>
  <c r="R4" i="1"/>
  <c r="R5" i="1"/>
  <c r="R6" i="1"/>
  <c r="Q2" i="1"/>
  <c r="Q3" i="1"/>
  <c r="Q4" i="1"/>
  <c r="Q5" i="1"/>
  <c r="Q6" i="1"/>
  <c r="P2" i="1"/>
</calcChain>
</file>

<file path=xl/sharedStrings.xml><?xml version="1.0" encoding="utf-8"?>
<sst xmlns="http://schemas.openxmlformats.org/spreadsheetml/2006/main" count="203" uniqueCount="120">
  <si>
    <t>class</t>
  </si>
  <si>
    <t>filename</t>
  </si>
  <si>
    <t>loc</t>
  </si>
  <si>
    <t>methods</t>
  </si>
  <si>
    <t>lcom</t>
  </si>
  <si>
    <t>tcc</t>
  </si>
  <si>
    <t>cbo</t>
  </si>
  <si>
    <t>changes</t>
  </si>
  <si>
    <t>lines_added</t>
  </si>
  <si>
    <t>lines_deleted</t>
  </si>
  <si>
    <t>nlc</t>
  </si>
  <si>
    <t>authors</t>
  </si>
  <si>
    <t>fan_in</t>
  </si>
  <si>
    <t>fan_out</t>
  </si>
  <si>
    <t>FlaskyStyle</t>
  </si>
  <si>
    <t>docs\_themes\flask_theme_support.py</t>
  </si>
  <si>
    <t>BaseAdapter</t>
  </si>
  <si>
    <t>src\requests\adapters.py</t>
  </si>
  <si>
    <t>HTTPAdapter</t>
  </si>
  <si>
    <t>AuthBase</t>
  </si>
  <si>
    <t>src\requests\auth.py</t>
  </si>
  <si>
    <t>HTTPBasicAuth</t>
  </si>
  <si>
    <t>HTTPProxyAuth</t>
  </si>
  <si>
    <t>HTTPDigestAuth</t>
  </si>
  <si>
    <t>MockRequest</t>
  </si>
  <si>
    <t>src\requests\cookies.py</t>
  </si>
  <si>
    <t>MockResponse</t>
  </si>
  <si>
    <t>CookieConflictError</t>
  </si>
  <si>
    <t>RequestsCookieJar</t>
  </si>
  <si>
    <t>RequestException</t>
  </si>
  <si>
    <t>src\requests\exceptions.py</t>
  </si>
  <si>
    <t>InvalidJSONError</t>
  </si>
  <si>
    <t>JSONDecodeError</t>
  </si>
  <si>
    <t>HTTPError</t>
  </si>
  <si>
    <t>ConnectionError</t>
  </si>
  <si>
    <t>ProxyError</t>
  </si>
  <si>
    <t>SSLError</t>
  </si>
  <si>
    <t>Timeout</t>
  </si>
  <si>
    <t>ConnectTimeout</t>
  </si>
  <si>
    <t>ReadTimeout</t>
  </si>
  <si>
    <t>URLRequired</t>
  </si>
  <si>
    <t>TooManyRedirects</t>
  </si>
  <si>
    <t>MissingSchema</t>
  </si>
  <si>
    <t>InvalidSchema</t>
  </si>
  <si>
    <t>InvalidURL</t>
  </si>
  <si>
    <t>InvalidHeader</t>
  </si>
  <si>
    <t>InvalidProxyURL</t>
  </si>
  <si>
    <t>ChunkedEncodingError</t>
  </si>
  <si>
    <t>ContentDecodingError</t>
  </si>
  <si>
    <t>StreamConsumedError</t>
  </si>
  <si>
    <t>RetryError</t>
  </si>
  <si>
    <t>UnrewindableBodyError</t>
  </si>
  <si>
    <t>RequestsWarning</t>
  </si>
  <si>
    <t>FileModeWarning</t>
  </si>
  <si>
    <t>RequestsDependencyWarning</t>
  </si>
  <si>
    <t>RequestEncodingMixin</t>
  </si>
  <si>
    <t>src\requests\models.py</t>
  </si>
  <si>
    <t>RequestHooksMixin</t>
  </si>
  <si>
    <t>Request</t>
  </si>
  <si>
    <t>PreparedRequest</t>
  </si>
  <si>
    <t>Response</t>
  </si>
  <si>
    <t>SessionRedirectMixin</t>
  </si>
  <si>
    <t>src\requests\sessions.py</t>
  </si>
  <si>
    <t>Session</t>
  </si>
  <si>
    <t>CaseInsensitiveDict</t>
  </si>
  <si>
    <t>src\requests\structures.py</t>
  </si>
  <si>
    <t>LookupDict</t>
  </si>
  <si>
    <t>VersionedPackage</t>
  </si>
  <si>
    <t>tests\test_help.py</t>
  </si>
  <si>
    <t>TestRequests</t>
  </si>
  <si>
    <t>tests\test_requests.py</t>
  </si>
  <si>
    <t>TestCaseInsensitiveDict</t>
  </si>
  <si>
    <t>TestMorselToCookieExpires</t>
  </si>
  <si>
    <t>TestMorselToCookieMaxAge</t>
  </si>
  <si>
    <t>TestTimeout</t>
  </si>
  <si>
    <t>RedirectSession</t>
  </si>
  <si>
    <t>TestPreparingURLs</t>
  </si>
  <si>
    <t>TestStream</t>
  </si>
  <si>
    <t>CustomMapping</t>
  </si>
  <si>
    <t>DummyAuth</t>
  </si>
  <si>
    <t>MyCookiePolicy</t>
  </si>
  <si>
    <t>MyString</t>
  </si>
  <si>
    <t>MyBytes</t>
  </si>
  <si>
    <t>BadFileObj</t>
  </si>
  <si>
    <t>CustomRedirectSession</t>
  </si>
  <si>
    <t>tests\test_structures.py</t>
  </si>
  <si>
    <t>TestLookupDict</t>
  </si>
  <si>
    <t>TestTestServer</t>
  </si>
  <si>
    <t>tests\test_testserver.py</t>
  </si>
  <si>
    <t>TestSuperLen</t>
  </si>
  <si>
    <t>tests\test_utils.py</t>
  </si>
  <si>
    <t>TestGetNetrcAuth</t>
  </si>
  <si>
    <t>TestToKeyValList</t>
  </si>
  <si>
    <t>TestUnquoteHeaderValue</t>
  </si>
  <si>
    <t>TestGetEnvironProxies</t>
  </si>
  <si>
    <t>TestIsIPv4Address</t>
  </si>
  <si>
    <t>TestIsValidCIDR</t>
  </si>
  <si>
    <t>TestAddressInNetwork</t>
  </si>
  <si>
    <t>TestGuessFilename</t>
  </si>
  <si>
    <t>TestExtractZippedPaths</t>
  </si>
  <si>
    <t>TestContentEncodingDetection</t>
  </si>
  <si>
    <t>TestGuessJSONUTF</t>
  </si>
  <si>
    <t>RegHandle</t>
  </si>
  <si>
    <t>BoomFile</t>
  </si>
  <si>
    <t>NoLenBoomFile</t>
  </si>
  <si>
    <t>LenFile</t>
  </si>
  <si>
    <t>Server</t>
  </si>
  <si>
    <t>tests\testserver\server.py</t>
  </si>
  <si>
    <t>TLSServer</t>
  </si>
  <si>
    <t>CBO</t>
  </si>
  <si>
    <t>Fan-out</t>
  </si>
  <si>
    <t>LCOM</t>
  </si>
  <si>
    <t>TCC</t>
  </si>
  <si>
    <t>NLC</t>
  </si>
  <si>
    <t xml:space="preserve">Mean     </t>
  </si>
  <si>
    <t xml:space="preserve">Median   </t>
  </si>
  <si>
    <t xml:space="preserve">Min     </t>
  </si>
  <si>
    <t xml:space="preserve">Max      </t>
  </si>
  <si>
    <t xml:space="preserve">Std Dev </t>
  </si>
  <si>
    <t>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</si>
</sst>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</a:t>
            </a:r>
            <a:r>
              <a:rPr lang="en-US" baseline="0"/>
              <a:t> TCC CDF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TCC_CDF!$A$1:$A$87</c:f>
              <c:numCache>
                <c:formatCode>General</c:formatCode>
                <c:ptCount val="87"/>
                <c:pt idx="0">
                  <c:v>0</c:v>
                </c:pt>
                <c:pt idx="1">
                  <c:v>4.4999999999999998E-2</c:v>
                </c:pt>
                <c:pt idx="2">
                  <c:v>0.21099999999999999</c:v>
                </c:pt>
                <c:pt idx="3">
                  <c:v>0.24299999999999999</c:v>
                </c:pt>
                <c:pt idx="4">
                  <c:v>0.28799999999999998</c:v>
                </c:pt>
                <c:pt idx="5">
                  <c:v>0.32100000000000001</c:v>
                </c:pt>
                <c:pt idx="6">
                  <c:v>0.33300000000000002</c:v>
                </c:pt>
                <c:pt idx="7">
                  <c:v>0.33300000000000002</c:v>
                </c:pt>
                <c:pt idx="8">
                  <c:v>0.439</c:v>
                </c:pt>
                <c:pt idx="9">
                  <c:v>0.44400000000000001</c:v>
                </c:pt>
                <c:pt idx="10">
                  <c:v>0.53600000000000003</c:v>
                </c:pt>
                <c:pt idx="11">
                  <c:v>0.622</c:v>
                </c:pt>
                <c:pt idx="12">
                  <c:v>0.81</c:v>
                </c:pt>
                <c:pt idx="13">
                  <c:v>0.9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C-4BB7-8FF2-8BC4CF93E5D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TCC_CDF!$C$1:$C$87</c:f>
              <c:numCache>
                <c:formatCode>General</c:formatCode>
                <c:ptCount val="87"/>
                <c:pt idx="1">
                  <c:v>1.1627906976744186E-2</c:v>
                </c:pt>
                <c:pt idx="2">
                  <c:v>2.3255813953488372E-2</c:v>
                </c:pt>
                <c:pt idx="3">
                  <c:v>3.4883720930232558E-2</c:v>
                </c:pt>
                <c:pt idx="4">
                  <c:v>4.6511627906976744E-2</c:v>
                </c:pt>
                <c:pt idx="5">
                  <c:v>5.8139534883720929E-2</c:v>
                </c:pt>
                <c:pt idx="6">
                  <c:v>6.9767441860465115E-2</c:v>
                </c:pt>
                <c:pt idx="7">
                  <c:v>8.1395348837209308E-2</c:v>
                </c:pt>
                <c:pt idx="8">
                  <c:v>9.3023255813953487E-2</c:v>
                </c:pt>
                <c:pt idx="9">
                  <c:v>0.10465116279069768</c:v>
                </c:pt>
                <c:pt idx="10">
                  <c:v>0.11627906976744186</c:v>
                </c:pt>
                <c:pt idx="11">
                  <c:v>0.12790697674418605</c:v>
                </c:pt>
                <c:pt idx="12">
                  <c:v>0.13953488372093023</c:v>
                </c:pt>
                <c:pt idx="13">
                  <c:v>0.15116279069767441</c:v>
                </c:pt>
                <c:pt idx="14">
                  <c:v>0.16279069767441862</c:v>
                </c:pt>
                <c:pt idx="15">
                  <c:v>0.1744186046511628</c:v>
                </c:pt>
                <c:pt idx="16">
                  <c:v>0.18604651162790697</c:v>
                </c:pt>
                <c:pt idx="17">
                  <c:v>0.19767441860465115</c:v>
                </c:pt>
                <c:pt idx="18">
                  <c:v>0.20930232558139536</c:v>
                </c:pt>
                <c:pt idx="19">
                  <c:v>0.22093023255813954</c:v>
                </c:pt>
                <c:pt idx="20">
                  <c:v>0.23255813953488372</c:v>
                </c:pt>
                <c:pt idx="21">
                  <c:v>0.2441860465116279</c:v>
                </c:pt>
                <c:pt idx="22">
                  <c:v>0.2558139534883721</c:v>
                </c:pt>
                <c:pt idx="23">
                  <c:v>0.26744186046511625</c:v>
                </c:pt>
                <c:pt idx="24">
                  <c:v>0.27906976744186046</c:v>
                </c:pt>
                <c:pt idx="25">
                  <c:v>0.29069767441860467</c:v>
                </c:pt>
                <c:pt idx="26">
                  <c:v>0.30232558139534882</c:v>
                </c:pt>
                <c:pt idx="27">
                  <c:v>0.31395348837209303</c:v>
                </c:pt>
                <c:pt idx="28">
                  <c:v>0.32558139534883723</c:v>
                </c:pt>
                <c:pt idx="29">
                  <c:v>0.33720930232558138</c:v>
                </c:pt>
                <c:pt idx="30">
                  <c:v>0.34883720930232559</c:v>
                </c:pt>
                <c:pt idx="31">
                  <c:v>0.36046511627906974</c:v>
                </c:pt>
                <c:pt idx="32">
                  <c:v>0.37209302325581395</c:v>
                </c:pt>
                <c:pt idx="33">
                  <c:v>0.38372093023255816</c:v>
                </c:pt>
                <c:pt idx="34">
                  <c:v>0.39534883720930231</c:v>
                </c:pt>
                <c:pt idx="35">
                  <c:v>0.40697674418604651</c:v>
                </c:pt>
                <c:pt idx="36">
                  <c:v>0.41860465116279072</c:v>
                </c:pt>
                <c:pt idx="37">
                  <c:v>0.43023255813953487</c:v>
                </c:pt>
                <c:pt idx="38">
                  <c:v>0.44186046511627908</c:v>
                </c:pt>
                <c:pt idx="39">
                  <c:v>0.45348837209302323</c:v>
                </c:pt>
                <c:pt idx="40">
                  <c:v>0.46511627906976744</c:v>
                </c:pt>
                <c:pt idx="41">
                  <c:v>0.47674418604651164</c:v>
                </c:pt>
                <c:pt idx="42">
                  <c:v>0.48837209302325579</c:v>
                </c:pt>
                <c:pt idx="43">
                  <c:v>0.5</c:v>
                </c:pt>
                <c:pt idx="44">
                  <c:v>0.51162790697674421</c:v>
                </c:pt>
                <c:pt idx="45">
                  <c:v>0.52325581395348841</c:v>
                </c:pt>
                <c:pt idx="46">
                  <c:v>0.53488372093023251</c:v>
                </c:pt>
                <c:pt idx="47">
                  <c:v>0.54651162790697672</c:v>
                </c:pt>
                <c:pt idx="48">
                  <c:v>0.55813953488372092</c:v>
                </c:pt>
                <c:pt idx="49">
                  <c:v>0.56976744186046513</c:v>
                </c:pt>
                <c:pt idx="50">
                  <c:v>0.58139534883720934</c:v>
                </c:pt>
                <c:pt idx="51">
                  <c:v>0.59302325581395354</c:v>
                </c:pt>
                <c:pt idx="52">
                  <c:v>0.60465116279069764</c:v>
                </c:pt>
                <c:pt idx="53">
                  <c:v>0.61627906976744184</c:v>
                </c:pt>
                <c:pt idx="54">
                  <c:v>0.62790697674418605</c:v>
                </c:pt>
                <c:pt idx="55">
                  <c:v>0.63953488372093026</c:v>
                </c:pt>
                <c:pt idx="56">
                  <c:v>0.65116279069767447</c:v>
                </c:pt>
                <c:pt idx="57">
                  <c:v>0.66279069767441856</c:v>
                </c:pt>
                <c:pt idx="58">
                  <c:v>0.67441860465116277</c:v>
                </c:pt>
                <c:pt idx="59">
                  <c:v>0.68604651162790697</c:v>
                </c:pt>
                <c:pt idx="60">
                  <c:v>0.69767441860465118</c:v>
                </c:pt>
                <c:pt idx="61">
                  <c:v>0.70930232558139539</c:v>
                </c:pt>
                <c:pt idx="62">
                  <c:v>0.72093023255813948</c:v>
                </c:pt>
                <c:pt idx="63">
                  <c:v>0.73255813953488369</c:v>
                </c:pt>
                <c:pt idx="64">
                  <c:v>0.7441860465116279</c:v>
                </c:pt>
                <c:pt idx="65">
                  <c:v>0.7558139534883721</c:v>
                </c:pt>
                <c:pt idx="66">
                  <c:v>0.76744186046511631</c:v>
                </c:pt>
                <c:pt idx="67">
                  <c:v>0.77906976744186052</c:v>
                </c:pt>
                <c:pt idx="68">
                  <c:v>0.79069767441860461</c:v>
                </c:pt>
                <c:pt idx="69">
                  <c:v>0.80232558139534882</c:v>
                </c:pt>
                <c:pt idx="70">
                  <c:v>0.81395348837209303</c:v>
                </c:pt>
                <c:pt idx="71">
                  <c:v>0.82558139534883723</c:v>
                </c:pt>
                <c:pt idx="72">
                  <c:v>0.83720930232558144</c:v>
                </c:pt>
                <c:pt idx="73">
                  <c:v>0.84883720930232553</c:v>
                </c:pt>
                <c:pt idx="74">
                  <c:v>0.86046511627906974</c:v>
                </c:pt>
                <c:pt idx="75">
                  <c:v>0.87209302325581395</c:v>
                </c:pt>
                <c:pt idx="76">
                  <c:v>0.88372093023255816</c:v>
                </c:pt>
                <c:pt idx="77">
                  <c:v>0.89534883720930236</c:v>
                </c:pt>
                <c:pt idx="78">
                  <c:v>0.90697674418604646</c:v>
                </c:pt>
                <c:pt idx="79">
                  <c:v>0.91860465116279066</c:v>
                </c:pt>
                <c:pt idx="80">
                  <c:v>0.93023255813953487</c:v>
                </c:pt>
                <c:pt idx="81">
                  <c:v>0.94186046511627908</c:v>
                </c:pt>
                <c:pt idx="82">
                  <c:v>0.95348837209302328</c:v>
                </c:pt>
                <c:pt idx="83">
                  <c:v>0.96511627906976749</c:v>
                </c:pt>
                <c:pt idx="84">
                  <c:v>0.97674418604651159</c:v>
                </c:pt>
                <c:pt idx="85">
                  <c:v>0.98837209302325579</c:v>
                </c:pt>
                <c:pt idx="8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C-4BB7-8FF2-8BC4CF93E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751391"/>
        <c:axId val="1085754271"/>
      </c:lineChart>
      <c:catAx>
        <c:axId val="1085751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754271"/>
        <c:crosses val="autoZero"/>
        <c:auto val="1"/>
        <c:lblAlgn val="ctr"/>
        <c:lblOffset val="100"/>
        <c:noMultiLvlLbl val="0"/>
      </c:catAx>
      <c:valAx>
        <c:axId val="108575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75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Requests – NLC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NLC_CDF!$A$1:$A$89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1.33</c:v>
                </c:pt>
                <c:pt idx="18">
                  <c:v>1.33</c:v>
                </c:pt>
                <c:pt idx="19">
                  <c:v>1.6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2.25</c:v>
                </c:pt>
                <c:pt idx="30">
                  <c:v>2.4</c:v>
                </c:pt>
                <c:pt idx="31">
                  <c:v>2.5</c:v>
                </c:pt>
                <c:pt idx="32">
                  <c:v>2.57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3.33</c:v>
                </c:pt>
                <c:pt idx="37">
                  <c:v>3.5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4.25</c:v>
                </c:pt>
                <c:pt idx="42">
                  <c:v>4.5</c:v>
                </c:pt>
                <c:pt idx="43">
                  <c:v>4.5999999999999996</c:v>
                </c:pt>
                <c:pt idx="44">
                  <c:v>5</c:v>
                </c:pt>
                <c:pt idx="45">
                  <c:v>5.0999999999999996</c:v>
                </c:pt>
                <c:pt idx="46">
                  <c:v>6.6</c:v>
                </c:pt>
                <c:pt idx="47">
                  <c:v>6.75</c:v>
                </c:pt>
                <c:pt idx="48">
                  <c:v>6.9</c:v>
                </c:pt>
                <c:pt idx="49">
                  <c:v>7</c:v>
                </c:pt>
                <c:pt idx="50">
                  <c:v>7</c:v>
                </c:pt>
                <c:pt idx="51">
                  <c:v>7.14</c:v>
                </c:pt>
                <c:pt idx="52">
                  <c:v>7.14</c:v>
                </c:pt>
                <c:pt idx="53">
                  <c:v>7.14</c:v>
                </c:pt>
                <c:pt idx="54">
                  <c:v>7.19</c:v>
                </c:pt>
                <c:pt idx="55">
                  <c:v>7.5</c:v>
                </c:pt>
                <c:pt idx="56">
                  <c:v>7.67</c:v>
                </c:pt>
                <c:pt idx="57">
                  <c:v>7.8</c:v>
                </c:pt>
                <c:pt idx="58">
                  <c:v>8</c:v>
                </c:pt>
                <c:pt idx="59">
                  <c:v>8.15</c:v>
                </c:pt>
                <c:pt idx="60">
                  <c:v>8.15</c:v>
                </c:pt>
                <c:pt idx="61">
                  <c:v>8.33</c:v>
                </c:pt>
                <c:pt idx="62">
                  <c:v>11</c:v>
                </c:pt>
                <c:pt idx="63">
                  <c:v>11.33</c:v>
                </c:pt>
                <c:pt idx="64">
                  <c:v>12</c:v>
                </c:pt>
                <c:pt idx="65">
                  <c:v>13.33</c:v>
                </c:pt>
                <c:pt idx="66">
                  <c:v>13.33</c:v>
                </c:pt>
                <c:pt idx="67">
                  <c:v>14.33</c:v>
                </c:pt>
                <c:pt idx="68">
                  <c:v>14.75</c:v>
                </c:pt>
                <c:pt idx="69">
                  <c:v>15.25</c:v>
                </c:pt>
                <c:pt idx="70">
                  <c:v>15.67</c:v>
                </c:pt>
                <c:pt idx="71">
                  <c:v>16.21</c:v>
                </c:pt>
                <c:pt idx="72">
                  <c:v>17</c:v>
                </c:pt>
                <c:pt idx="73">
                  <c:v>17.170000000000002</c:v>
                </c:pt>
                <c:pt idx="74">
                  <c:v>17.329999999999998</c:v>
                </c:pt>
                <c:pt idx="75">
                  <c:v>18</c:v>
                </c:pt>
                <c:pt idx="76">
                  <c:v>18.27</c:v>
                </c:pt>
                <c:pt idx="77">
                  <c:v>18.760000000000002</c:v>
                </c:pt>
                <c:pt idx="78">
                  <c:v>19</c:v>
                </c:pt>
                <c:pt idx="79">
                  <c:v>19.88</c:v>
                </c:pt>
                <c:pt idx="80">
                  <c:v>23.45</c:v>
                </c:pt>
                <c:pt idx="81">
                  <c:v>24.67</c:v>
                </c:pt>
                <c:pt idx="82">
                  <c:v>24.83</c:v>
                </c:pt>
                <c:pt idx="83">
                  <c:v>28.74</c:v>
                </c:pt>
                <c:pt idx="84">
                  <c:v>36.69</c:v>
                </c:pt>
                <c:pt idx="85">
                  <c:v>39</c:v>
                </c:pt>
                <c:pt idx="86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E-4835-9B67-F6D7763BE07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NLC_CDF!$C$1:$C$89</c:f>
              <c:numCache>
                <c:formatCode>General</c:formatCode>
                <c:ptCount val="89"/>
                <c:pt idx="1">
                  <c:v>1.1627906976744186E-2</c:v>
                </c:pt>
                <c:pt idx="2">
                  <c:v>2.3255813953488372E-2</c:v>
                </c:pt>
                <c:pt idx="3">
                  <c:v>3.4883720930232558E-2</c:v>
                </c:pt>
                <c:pt idx="4">
                  <c:v>4.6511627906976744E-2</c:v>
                </c:pt>
                <c:pt idx="5">
                  <c:v>5.8139534883720929E-2</c:v>
                </c:pt>
                <c:pt idx="6">
                  <c:v>6.9767441860465115E-2</c:v>
                </c:pt>
                <c:pt idx="7">
                  <c:v>8.1395348837209308E-2</c:v>
                </c:pt>
                <c:pt idx="8">
                  <c:v>9.3023255813953487E-2</c:v>
                </c:pt>
                <c:pt idx="9">
                  <c:v>0.10465116279069768</c:v>
                </c:pt>
                <c:pt idx="10">
                  <c:v>0.11627906976744186</c:v>
                </c:pt>
                <c:pt idx="11">
                  <c:v>0.12790697674418605</c:v>
                </c:pt>
                <c:pt idx="12">
                  <c:v>0.13953488372093023</c:v>
                </c:pt>
                <c:pt idx="13">
                  <c:v>0.15116279069767441</c:v>
                </c:pt>
                <c:pt idx="14">
                  <c:v>0.16279069767441862</c:v>
                </c:pt>
                <c:pt idx="15">
                  <c:v>0.1744186046511628</c:v>
                </c:pt>
                <c:pt idx="16">
                  <c:v>0.18604651162790697</c:v>
                </c:pt>
                <c:pt idx="17">
                  <c:v>0.19767441860465115</c:v>
                </c:pt>
                <c:pt idx="18">
                  <c:v>0.20930232558139536</c:v>
                </c:pt>
                <c:pt idx="19">
                  <c:v>0.22093023255813954</c:v>
                </c:pt>
                <c:pt idx="20">
                  <c:v>0.23255813953488372</c:v>
                </c:pt>
                <c:pt idx="21">
                  <c:v>0.2441860465116279</c:v>
                </c:pt>
                <c:pt idx="22">
                  <c:v>0.2558139534883721</c:v>
                </c:pt>
                <c:pt idx="23">
                  <c:v>0.26744186046511625</c:v>
                </c:pt>
                <c:pt idx="24">
                  <c:v>0.27906976744186046</c:v>
                </c:pt>
                <c:pt idx="25">
                  <c:v>0.29069767441860467</c:v>
                </c:pt>
                <c:pt idx="26">
                  <c:v>0.30232558139534882</c:v>
                </c:pt>
                <c:pt idx="27">
                  <c:v>0.31395348837209303</c:v>
                </c:pt>
                <c:pt idx="28">
                  <c:v>0.32558139534883723</c:v>
                </c:pt>
                <c:pt idx="29">
                  <c:v>0.33720930232558138</c:v>
                </c:pt>
                <c:pt idx="30">
                  <c:v>0.34883720930232559</c:v>
                </c:pt>
                <c:pt idx="31">
                  <c:v>0.36046511627906974</c:v>
                </c:pt>
                <c:pt idx="32">
                  <c:v>0.37209302325581395</c:v>
                </c:pt>
                <c:pt idx="33">
                  <c:v>0.38372093023255816</c:v>
                </c:pt>
                <c:pt idx="34">
                  <c:v>0.39534883720930231</c:v>
                </c:pt>
                <c:pt idx="35">
                  <c:v>0.40697674418604651</c:v>
                </c:pt>
                <c:pt idx="36">
                  <c:v>0.41860465116279072</c:v>
                </c:pt>
                <c:pt idx="37">
                  <c:v>0.43023255813953487</c:v>
                </c:pt>
                <c:pt idx="38">
                  <c:v>0.44186046511627908</c:v>
                </c:pt>
                <c:pt idx="39">
                  <c:v>0.45348837209302323</c:v>
                </c:pt>
                <c:pt idx="40">
                  <c:v>0.46511627906976744</c:v>
                </c:pt>
                <c:pt idx="41">
                  <c:v>0.47674418604651164</c:v>
                </c:pt>
                <c:pt idx="42">
                  <c:v>0.48837209302325579</c:v>
                </c:pt>
                <c:pt idx="43">
                  <c:v>0.5</c:v>
                </c:pt>
                <c:pt idx="44">
                  <c:v>0.51162790697674421</c:v>
                </c:pt>
                <c:pt idx="45">
                  <c:v>0.52325581395348841</c:v>
                </c:pt>
                <c:pt idx="46">
                  <c:v>0.53488372093023251</c:v>
                </c:pt>
                <c:pt idx="47">
                  <c:v>0.54651162790697672</c:v>
                </c:pt>
                <c:pt idx="48">
                  <c:v>0.55813953488372092</c:v>
                </c:pt>
                <c:pt idx="49">
                  <c:v>0.56976744186046513</c:v>
                </c:pt>
                <c:pt idx="50">
                  <c:v>0.58139534883720934</c:v>
                </c:pt>
                <c:pt idx="51">
                  <c:v>0.59302325581395354</c:v>
                </c:pt>
                <c:pt idx="52">
                  <c:v>0.60465116279069764</c:v>
                </c:pt>
                <c:pt idx="53">
                  <c:v>0.61627906976744184</c:v>
                </c:pt>
                <c:pt idx="54">
                  <c:v>0.62790697674418605</c:v>
                </c:pt>
                <c:pt idx="55">
                  <c:v>0.63953488372093026</c:v>
                </c:pt>
                <c:pt idx="56">
                  <c:v>0.65116279069767447</c:v>
                </c:pt>
                <c:pt idx="57">
                  <c:v>0.66279069767441856</c:v>
                </c:pt>
                <c:pt idx="58">
                  <c:v>0.67441860465116277</c:v>
                </c:pt>
                <c:pt idx="59">
                  <c:v>0.68604651162790697</c:v>
                </c:pt>
                <c:pt idx="60">
                  <c:v>0.69767441860465118</c:v>
                </c:pt>
                <c:pt idx="61">
                  <c:v>0.70930232558139539</c:v>
                </c:pt>
                <c:pt idx="62">
                  <c:v>0.72093023255813948</c:v>
                </c:pt>
                <c:pt idx="63">
                  <c:v>0.73255813953488369</c:v>
                </c:pt>
                <c:pt idx="64">
                  <c:v>0.7441860465116279</c:v>
                </c:pt>
                <c:pt idx="65">
                  <c:v>0.7558139534883721</c:v>
                </c:pt>
                <c:pt idx="66">
                  <c:v>0.76744186046511631</c:v>
                </c:pt>
                <c:pt idx="67">
                  <c:v>0.77906976744186052</c:v>
                </c:pt>
                <c:pt idx="68">
                  <c:v>0.79069767441860461</c:v>
                </c:pt>
                <c:pt idx="69">
                  <c:v>0.80232558139534882</c:v>
                </c:pt>
                <c:pt idx="70">
                  <c:v>0.81395348837209303</c:v>
                </c:pt>
                <c:pt idx="71">
                  <c:v>0.82558139534883723</c:v>
                </c:pt>
                <c:pt idx="72">
                  <c:v>0.83720930232558144</c:v>
                </c:pt>
                <c:pt idx="73">
                  <c:v>0.84883720930232553</c:v>
                </c:pt>
                <c:pt idx="74">
                  <c:v>0.86046511627906974</c:v>
                </c:pt>
                <c:pt idx="75">
                  <c:v>0.87209302325581395</c:v>
                </c:pt>
                <c:pt idx="76">
                  <c:v>0.88372093023255816</c:v>
                </c:pt>
                <c:pt idx="77">
                  <c:v>0.89534883720930236</c:v>
                </c:pt>
                <c:pt idx="78">
                  <c:v>0.90697674418604646</c:v>
                </c:pt>
                <c:pt idx="79">
                  <c:v>0.91860465116279066</c:v>
                </c:pt>
                <c:pt idx="80">
                  <c:v>0.93023255813953487</c:v>
                </c:pt>
                <c:pt idx="81">
                  <c:v>0.94186046511627908</c:v>
                </c:pt>
                <c:pt idx="82">
                  <c:v>0.95348837209302328</c:v>
                </c:pt>
                <c:pt idx="83">
                  <c:v>0.96511627906976749</c:v>
                </c:pt>
                <c:pt idx="84">
                  <c:v>0.97674418604651159</c:v>
                </c:pt>
                <c:pt idx="85">
                  <c:v>0.98837209302325579</c:v>
                </c:pt>
                <c:pt idx="8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CE-4835-9B67-F6D7763BE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470799"/>
        <c:axId val="938465999"/>
      </c:lineChart>
      <c:catAx>
        <c:axId val="938470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465999"/>
        <c:crosses val="autoZero"/>
        <c:auto val="1"/>
        <c:lblAlgn val="ctr"/>
        <c:lblOffset val="100"/>
        <c:noMultiLvlLbl val="0"/>
      </c:catAx>
      <c:valAx>
        <c:axId val="93846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47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Requests – CHANGES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CHANGES_CDF!$A$1:$A$89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7</c:v>
                </c:pt>
                <c:pt idx="65">
                  <c:v>8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11</c:v>
                </c:pt>
                <c:pt idx="70">
                  <c:v>12</c:v>
                </c:pt>
                <c:pt idx="71">
                  <c:v>13</c:v>
                </c:pt>
                <c:pt idx="72">
                  <c:v>17</c:v>
                </c:pt>
                <c:pt idx="73">
                  <c:v>20</c:v>
                </c:pt>
                <c:pt idx="74">
                  <c:v>20</c:v>
                </c:pt>
                <c:pt idx="75">
                  <c:v>22</c:v>
                </c:pt>
                <c:pt idx="76">
                  <c:v>27</c:v>
                </c:pt>
                <c:pt idx="77">
                  <c:v>32</c:v>
                </c:pt>
                <c:pt idx="78">
                  <c:v>35</c:v>
                </c:pt>
                <c:pt idx="79">
                  <c:v>35</c:v>
                </c:pt>
                <c:pt idx="80">
                  <c:v>76</c:v>
                </c:pt>
                <c:pt idx="81">
                  <c:v>118</c:v>
                </c:pt>
                <c:pt idx="82">
                  <c:v>118</c:v>
                </c:pt>
                <c:pt idx="83">
                  <c:v>148</c:v>
                </c:pt>
                <c:pt idx="84">
                  <c:v>170</c:v>
                </c:pt>
                <c:pt idx="85">
                  <c:v>263</c:v>
                </c:pt>
                <c:pt idx="86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3C-47DB-896A-6ABC7A4C519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CHANGES_CDF!$C$1:$C$89</c:f>
              <c:numCache>
                <c:formatCode>General</c:formatCode>
                <c:ptCount val="89"/>
                <c:pt idx="1">
                  <c:v>1.1627906976744186E-2</c:v>
                </c:pt>
                <c:pt idx="2">
                  <c:v>2.3255813953488372E-2</c:v>
                </c:pt>
                <c:pt idx="3">
                  <c:v>3.4883720930232558E-2</c:v>
                </c:pt>
                <c:pt idx="4">
                  <c:v>4.6511627906976744E-2</c:v>
                </c:pt>
                <c:pt idx="5">
                  <c:v>5.8139534883720929E-2</c:v>
                </c:pt>
                <c:pt idx="6">
                  <c:v>6.9767441860465115E-2</c:v>
                </c:pt>
                <c:pt idx="7">
                  <c:v>8.1395348837209308E-2</c:v>
                </c:pt>
                <c:pt idx="8">
                  <c:v>9.3023255813953487E-2</c:v>
                </c:pt>
                <c:pt idx="9">
                  <c:v>0.10465116279069768</c:v>
                </c:pt>
                <c:pt idx="10">
                  <c:v>0.11627906976744186</c:v>
                </c:pt>
                <c:pt idx="11">
                  <c:v>0.12790697674418605</c:v>
                </c:pt>
                <c:pt idx="12">
                  <c:v>0.13953488372093023</c:v>
                </c:pt>
                <c:pt idx="13">
                  <c:v>0.15116279069767441</c:v>
                </c:pt>
                <c:pt idx="14">
                  <c:v>0.16279069767441862</c:v>
                </c:pt>
                <c:pt idx="15">
                  <c:v>0.1744186046511628</c:v>
                </c:pt>
                <c:pt idx="16">
                  <c:v>0.18604651162790697</c:v>
                </c:pt>
                <c:pt idx="17">
                  <c:v>0.19767441860465115</c:v>
                </c:pt>
                <c:pt idx="18">
                  <c:v>0.20930232558139536</c:v>
                </c:pt>
                <c:pt idx="19">
                  <c:v>0.22093023255813954</c:v>
                </c:pt>
                <c:pt idx="20">
                  <c:v>0.23255813953488372</c:v>
                </c:pt>
                <c:pt idx="21">
                  <c:v>0.2441860465116279</c:v>
                </c:pt>
                <c:pt idx="22">
                  <c:v>0.2558139534883721</c:v>
                </c:pt>
                <c:pt idx="23">
                  <c:v>0.26744186046511625</c:v>
                </c:pt>
                <c:pt idx="24">
                  <c:v>0.27906976744186046</c:v>
                </c:pt>
                <c:pt idx="25">
                  <c:v>0.29069767441860467</c:v>
                </c:pt>
                <c:pt idx="26">
                  <c:v>0.30232558139534882</c:v>
                </c:pt>
                <c:pt idx="27">
                  <c:v>0.31395348837209303</c:v>
                </c:pt>
                <c:pt idx="28">
                  <c:v>0.32558139534883723</c:v>
                </c:pt>
                <c:pt idx="29">
                  <c:v>0.33720930232558138</c:v>
                </c:pt>
                <c:pt idx="30">
                  <c:v>0.34883720930232559</c:v>
                </c:pt>
                <c:pt idx="31">
                  <c:v>0.36046511627906974</c:v>
                </c:pt>
                <c:pt idx="32">
                  <c:v>0.37209302325581395</c:v>
                </c:pt>
                <c:pt idx="33">
                  <c:v>0.38372093023255816</c:v>
                </c:pt>
                <c:pt idx="34">
                  <c:v>0.39534883720930231</c:v>
                </c:pt>
                <c:pt idx="35">
                  <c:v>0.40697674418604651</c:v>
                </c:pt>
                <c:pt idx="36">
                  <c:v>0.41860465116279072</c:v>
                </c:pt>
                <c:pt idx="37">
                  <c:v>0.43023255813953487</c:v>
                </c:pt>
                <c:pt idx="38">
                  <c:v>0.44186046511627908</c:v>
                </c:pt>
                <c:pt idx="39">
                  <c:v>0.45348837209302323</c:v>
                </c:pt>
                <c:pt idx="40">
                  <c:v>0.46511627906976744</c:v>
                </c:pt>
                <c:pt idx="41">
                  <c:v>0.47674418604651164</c:v>
                </c:pt>
                <c:pt idx="42">
                  <c:v>0.48837209302325579</c:v>
                </c:pt>
                <c:pt idx="43">
                  <c:v>0.5</c:v>
                </c:pt>
                <c:pt idx="44">
                  <c:v>0.51162790697674421</c:v>
                </c:pt>
                <c:pt idx="45">
                  <c:v>0.52325581395348841</c:v>
                </c:pt>
                <c:pt idx="46">
                  <c:v>0.53488372093023251</c:v>
                </c:pt>
                <c:pt idx="47">
                  <c:v>0.54651162790697672</c:v>
                </c:pt>
                <c:pt idx="48">
                  <c:v>0.55813953488372092</c:v>
                </c:pt>
                <c:pt idx="49">
                  <c:v>0.56976744186046513</c:v>
                </c:pt>
                <c:pt idx="50">
                  <c:v>0.58139534883720934</c:v>
                </c:pt>
                <c:pt idx="51">
                  <c:v>0.59302325581395354</c:v>
                </c:pt>
                <c:pt idx="52">
                  <c:v>0.60465116279069764</c:v>
                </c:pt>
                <c:pt idx="53">
                  <c:v>0.61627906976744184</c:v>
                </c:pt>
                <c:pt idx="54">
                  <c:v>0.62790697674418605</c:v>
                </c:pt>
                <c:pt idx="55">
                  <c:v>0.63953488372093026</c:v>
                </c:pt>
                <c:pt idx="56">
                  <c:v>0.65116279069767447</c:v>
                </c:pt>
                <c:pt idx="57">
                  <c:v>0.66279069767441856</c:v>
                </c:pt>
                <c:pt idx="58">
                  <c:v>0.67441860465116277</c:v>
                </c:pt>
                <c:pt idx="59">
                  <c:v>0.68604651162790697</c:v>
                </c:pt>
                <c:pt idx="60">
                  <c:v>0.69767441860465118</c:v>
                </c:pt>
                <c:pt idx="61">
                  <c:v>0.70930232558139539</c:v>
                </c:pt>
                <c:pt idx="62">
                  <c:v>0.72093023255813948</c:v>
                </c:pt>
                <c:pt idx="63">
                  <c:v>0.73255813953488369</c:v>
                </c:pt>
                <c:pt idx="64">
                  <c:v>0.7441860465116279</c:v>
                </c:pt>
                <c:pt idx="65">
                  <c:v>0.7558139534883721</c:v>
                </c:pt>
                <c:pt idx="66">
                  <c:v>0.76744186046511631</c:v>
                </c:pt>
                <c:pt idx="67">
                  <c:v>0.77906976744186052</c:v>
                </c:pt>
                <c:pt idx="68">
                  <c:v>0.79069767441860461</c:v>
                </c:pt>
                <c:pt idx="69">
                  <c:v>0.80232558139534882</c:v>
                </c:pt>
                <c:pt idx="70">
                  <c:v>0.81395348837209303</c:v>
                </c:pt>
                <c:pt idx="71">
                  <c:v>0.82558139534883723</c:v>
                </c:pt>
                <c:pt idx="72">
                  <c:v>0.83720930232558144</c:v>
                </c:pt>
                <c:pt idx="73">
                  <c:v>0.84883720930232553</c:v>
                </c:pt>
                <c:pt idx="74">
                  <c:v>0.86046511627906974</c:v>
                </c:pt>
                <c:pt idx="75">
                  <c:v>0.87209302325581395</c:v>
                </c:pt>
                <c:pt idx="76">
                  <c:v>0.88372093023255816</c:v>
                </c:pt>
                <c:pt idx="77">
                  <c:v>0.89534883720930236</c:v>
                </c:pt>
                <c:pt idx="78">
                  <c:v>0.90697674418604646</c:v>
                </c:pt>
                <c:pt idx="79">
                  <c:v>0.91860465116279066</c:v>
                </c:pt>
                <c:pt idx="80">
                  <c:v>0.93023255813953487</c:v>
                </c:pt>
                <c:pt idx="81">
                  <c:v>0.94186046511627908</c:v>
                </c:pt>
                <c:pt idx="82">
                  <c:v>0.95348837209302328</c:v>
                </c:pt>
                <c:pt idx="83">
                  <c:v>0.96511627906976749</c:v>
                </c:pt>
                <c:pt idx="84">
                  <c:v>0.97674418604651159</c:v>
                </c:pt>
                <c:pt idx="85">
                  <c:v>0.98837209302325579</c:v>
                </c:pt>
                <c:pt idx="8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3C-47DB-896A-6ABC7A4C5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322911"/>
        <c:axId val="1186322431"/>
      </c:lineChart>
      <c:catAx>
        <c:axId val="1186322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22431"/>
        <c:crosses val="autoZero"/>
        <c:auto val="1"/>
        <c:lblAlgn val="ctr"/>
        <c:lblOffset val="100"/>
        <c:noMultiLvlLbl val="0"/>
      </c:catAx>
      <c:valAx>
        <c:axId val="118632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2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Requests – FANOUT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FANOUT_CDF!$A$1:$A$89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6A-44CD-9486-7326F408DC7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FANOUT_CDF!$C$1:$C$89</c:f>
              <c:numCache>
                <c:formatCode>General</c:formatCode>
                <c:ptCount val="89"/>
                <c:pt idx="1">
                  <c:v>1.1627906976744186E-2</c:v>
                </c:pt>
                <c:pt idx="2">
                  <c:v>2.3255813953488372E-2</c:v>
                </c:pt>
                <c:pt idx="3">
                  <c:v>3.4883720930232558E-2</c:v>
                </c:pt>
                <c:pt idx="4">
                  <c:v>4.6511627906976744E-2</c:v>
                </c:pt>
                <c:pt idx="5">
                  <c:v>5.8139534883720929E-2</c:v>
                </c:pt>
                <c:pt idx="6">
                  <c:v>6.9767441860465115E-2</c:v>
                </c:pt>
                <c:pt idx="7">
                  <c:v>8.1395348837209308E-2</c:v>
                </c:pt>
                <c:pt idx="8">
                  <c:v>9.3023255813953487E-2</c:v>
                </c:pt>
                <c:pt idx="9">
                  <c:v>0.10465116279069768</c:v>
                </c:pt>
                <c:pt idx="10">
                  <c:v>0.11627906976744186</c:v>
                </c:pt>
                <c:pt idx="11">
                  <c:v>0.12790697674418605</c:v>
                </c:pt>
                <c:pt idx="12">
                  <c:v>0.13953488372093023</c:v>
                </c:pt>
                <c:pt idx="13">
                  <c:v>0.15116279069767441</c:v>
                </c:pt>
                <c:pt idx="14">
                  <c:v>0.16279069767441862</c:v>
                </c:pt>
                <c:pt idx="15">
                  <c:v>0.1744186046511628</c:v>
                </c:pt>
                <c:pt idx="16">
                  <c:v>0.18604651162790697</c:v>
                </c:pt>
                <c:pt idx="17">
                  <c:v>0.19767441860465115</c:v>
                </c:pt>
                <c:pt idx="18">
                  <c:v>0.20930232558139536</c:v>
                </c:pt>
                <c:pt idx="19">
                  <c:v>0.22093023255813954</c:v>
                </c:pt>
                <c:pt idx="20">
                  <c:v>0.23255813953488372</c:v>
                </c:pt>
                <c:pt idx="21">
                  <c:v>0.2441860465116279</c:v>
                </c:pt>
                <c:pt idx="22">
                  <c:v>0.2558139534883721</c:v>
                </c:pt>
                <c:pt idx="23">
                  <c:v>0.26744186046511625</c:v>
                </c:pt>
                <c:pt idx="24">
                  <c:v>0.27906976744186046</c:v>
                </c:pt>
                <c:pt idx="25">
                  <c:v>0.29069767441860467</c:v>
                </c:pt>
                <c:pt idx="26">
                  <c:v>0.30232558139534882</c:v>
                </c:pt>
                <c:pt idx="27">
                  <c:v>0.31395348837209303</c:v>
                </c:pt>
                <c:pt idx="28">
                  <c:v>0.32558139534883723</c:v>
                </c:pt>
                <c:pt idx="29">
                  <c:v>0.33720930232558138</c:v>
                </c:pt>
                <c:pt idx="30">
                  <c:v>0.34883720930232559</c:v>
                </c:pt>
                <c:pt idx="31">
                  <c:v>0.36046511627906974</c:v>
                </c:pt>
                <c:pt idx="32">
                  <c:v>0.37209302325581395</c:v>
                </c:pt>
                <c:pt idx="33">
                  <c:v>0.38372093023255816</c:v>
                </c:pt>
                <c:pt idx="34">
                  <c:v>0.39534883720930231</c:v>
                </c:pt>
                <c:pt idx="35">
                  <c:v>0.40697674418604651</c:v>
                </c:pt>
                <c:pt idx="36">
                  <c:v>0.41860465116279072</c:v>
                </c:pt>
                <c:pt idx="37">
                  <c:v>0.43023255813953487</c:v>
                </c:pt>
                <c:pt idx="38">
                  <c:v>0.44186046511627908</c:v>
                </c:pt>
                <c:pt idx="39">
                  <c:v>0.45348837209302323</c:v>
                </c:pt>
                <c:pt idx="40">
                  <c:v>0.46511627906976744</c:v>
                </c:pt>
                <c:pt idx="41">
                  <c:v>0.47674418604651164</c:v>
                </c:pt>
                <c:pt idx="42">
                  <c:v>0.48837209302325579</c:v>
                </c:pt>
                <c:pt idx="43">
                  <c:v>0.5</c:v>
                </c:pt>
                <c:pt idx="44">
                  <c:v>0.51162790697674421</c:v>
                </c:pt>
                <c:pt idx="45">
                  <c:v>0.52325581395348841</c:v>
                </c:pt>
                <c:pt idx="46">
                  <c:v>0.53488372093023251</c:v>
                </c:pt>
                <c:pt idx="47">
                  <c:v>0.54651162790697672</c:v>
                </c:pt>
                <c:pt idx="48">
                  <c:v>0.55813953488372092</c:v>
                </c:pt>
                <c:pt idx="49">
                  <c:v>0.56976744186046513</c:v>
                </c:pt>
                <c:pt idx="50">
                  <c:v>0.58139534883720934</c:v>
                </c:pt>
                <c:pt idx="51">
                  <c:v>0.59302325581395354</c:v>
                </c:pt>
                <c:pt idx="52">
                  <c:v>0.60465116279069764</c:v>
                </c:pt>
                <c:pt idx="53">
                  <c:v>0.61627906976744184</c:v>
                </c:pt>
                <c:pt idx="54">
                  <c:v>0.62790697674418605</c:v>
                </c:pt>
                <c:pt idx="55">
                  <c:v>0.63953488372093026</c:v>
                </c:pt>
                <c:pt idx="56">
                  <c:v>0.65116279069767447</c:v>
                </c:pt>
                <c:pt idx="57">
                  <c:v>0.66279069767441856</c:v>
                </c:pt>
                <c:pt idx="58">
                  <c:v>0.67441860465116277</c:v>
                </c:pt>
                <c:pt idx="59">
                  <c:v>0.68604651162790697</c:v>
                </c:pt>
                <c:pt idx="60">
                  <c:v>0.69767441860465118</c:v>
                </c:pt>
                <c:pt idx="61">
                  <c:v>0.70930232558139539</c:v>
                </c:pt>
                <c:pt idx="62">
                  <c:v>0.72093023255813948</c:v>
                </c:pt>
                <c:pt idx="63">
                  <c:v>0.73255813953488369</c:v>
                </c:pt>
                <c:pt idx="64">
                  <c:v>0.7441860465116279</c:v>
                </c:pt>
                <c:pt idx="65">
                  <c:v>0.7558139534883721</c:v>
                </c:pt>
                <c:pt idx="66">
                  <c:v>0.76744186046511631</c:v>
                </c:pt>
                <c:pt idx="67">
                  <c:v>0.77906976744186052</c:v>
                </c:pt>
                <c:pt idx="68">
                  <c:v>0.79069767441860461</c:v>
                </c:pt>
                <c:pt idx="69">
                  <c:v>0.80232558139534882</c:v>
                </c:pt>
                <c:pt idx="70">
                  <c:v>0.81395348837209303</c:v>
                </c:pt>
                <c:pt idx="71">
                  <c:v>0.82558139534883723</c:v>
                </c:pt>
                <c:pt idx="72">
                  <c:v>0.83720930232558144</c:v>
                </c:pt>
                <c:pt idx="73">
                  <c:v>0.84883720930232553</c:v>
                </c:pt>
                <c:pt idx="74">
                  <c:v>0.86046511627906974</c:v>
                </c:pt>
                <c:pt idx="75">
                  <c:v>0.87209302325581395</c:v>
                </c:pt>
                <c:pt idx="76">
                  <c:v>0.88372093023255816</c:v>
                </c:pt>
                <c:pt idx="77">
                  <c:v>0.89534883720930236</c:v>
                </c:pt>
                <c:pt idx="78">
                  <c:v>0.90697674418604646</c:v>
                </c:pt>
                <c:pt idx="79">
                  <c:v>0.91860465116279066</c:v>
                </c:pt>
                <c:pt idx="80">
                  <c:v>0.93023255813953487</c:v>
                </c:pt>
                <c:pt idx="81">
                  <c:v>0.94186046511627908</c:v>
                </c:pt>
                <c:pt idx="82">
                  <c:v>0.95348837209302328</c:v>
                </c:pt>
                <c:pt idx="83">
                  <c:v>0.96511627906976749</c:v>
                </c:pt>
                <c:pt idx="84">
                  <c:v>0.97674418604651159</c:v>
                </c:pt>
                <c:pt idx="85">
                  <c:v>0.98837209302325579</c:v>
                </c:pt>
                <c:pt idx="8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6A-44CD-9486-7326F408D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927439"/>
        <c:axId val="1087928879"/>
      </c:lineChart>
      <c:catAx>
        <c:axId val="1087927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928879"/>
        <c:crosses val="autoZero"/>
        <c:auto val="1"/>
        <c:lblAlgn val="ctr"/>
        <c:lblOffset val="100"/>
        <c:noMultiLvlLbl val="0"/>
      </c:catAx>
      <c:valAx>
        <c:axId val="10879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92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– CBO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CBO_CDF!$A$1:$A$88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6</c:v>
                </c:pt>
                <c:pt idx="53">
                  <c:v>6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10</c:v>
                </c:pt>
                <c:pt idx="64">
                  <c:v>10</c:v>
                </c:pt>
                <c:pt idx="65">
                  <c:v>12</c:v>
                </c:pt>
                <c:pt idx="66">
                  <c:v>14</c:v>
                </c:pt>
                <c:pt idx="67">
                  <c:v>15</c:v>
                </c:pt>
                <c:pt idx="68">
                  <c:v>15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18</c:v>
                </c:pt>
                <c:pt idx="73">
                  <c:v>18</c:v>
                </c:pt>
                <c:pt idx="74">
                  <c:v>27</c:v>
                </c:pt>
                <c:pt idx="75">
                  <c:v>29</c:v>
                </c:pt>
                <c:pt idx="76">
                  <c:v>32</c:v>
                </c:pt>
                <c:pt idx="77">
                  <c:v>35</c:v>
                </c:pt>
                <c:pt idx="78">
                  <c:v>41</c:v>
                </c:pt>
                <c:pt idx="79">
                  <c:v>41</c:v>
                </c:pt>
                <c:pt idx="80">
                  <c:v>54</c:v>
                </c:pt>
                <c:pt idx="81">
                  <c:v>54</c:v>
                </c:pt>
                <c:pt idx="82">
                  <c:v>68</c:v>
                </c:pt>
                <c:pt idx="83">
                  <c:v>74</c:v>
                </c:pt>
                <c:pt idx="84">
                  <c:v>78</c:v>
                </c:pt>
                <c:pt idx="85">
                  <c:v>101</c:v>
                </c:pt>
                <c:pt idx="86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6-4232-8011-F08CC0A673A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CBO_CDF!$C$1:$C$88</c:f>
              <c:numCache>
                <c:formatCode>General</c:formatCode>
                <c:ptCount val="88"/>
                <c:pt idx="1">
                  <c:v>2.3255813953488372E-2</c:v>
                </c:pt>
                <c:pt idx="2">
                  <c:v>3.4883720930232558E-2</c:v>
                </c:pt>
                <c:pt idx="3">
                  <c:v>4.6511627906976744E-2</c:v>
                </c:pt>
                <c:pt idx="4">
                  <c:v>5.8139534883720929E-2</c:v>
                </c:pt>
                <c:pt idx="5">
                  <c:v>6.9767441860465115E-2</c:v>
                </c:pt>
                <c:pt idx="6">
                  <c:v>8.1395348837209308E-2</c:v>
                </c:pt>
                <c:pt idx="7">
                  <c:v>9.3023255813953487E-2</c:v>
                </c:pt>
                <c:pt idx="8">
                  <c:v>0.10465116279069768</c:v>
                </c:pt>
                <c:pt idx="9">
                  <c:v>0.11627906976744186</c:v>
                </c:pt>
                <c:pt idx="10">
                  <c:v>0.12790697674418605</c:v>
                </c:pt>
                <c:pt idx="11">
                  <c:v>0.13953488372093023</c:v>
                </c:pt>
                <c:pt idx="12">
                  <c:v>0.15116279069767441</c:v>
                </c:pt>
                <c:pt idx="13">
                  <c:v>0.16279069767441862</c:v>
                </c:pt>
                <c:pt idx="14">
                  <c:v>0.1744186046511628</c:v>
                </c:pt>
                <c:pt idx="15">
                  <c:v>0.18604651162790697</c:v>
                </c:pt>
                <c:pt idx="16">
                  <c:v>0.19767441860465115</c:v>
                </c:pt>
                <c:pt idx="17">
                  <c:v>0.20930232558139536</c:v>
                </c:pt>
                <c:pt idx="18">
                  <c:v>0.22093023255813954</c:v>
                </c:pt>
                <c:pt idx="19">
                  <c:v>0.23255813953488372</c:v>
                </c:pt>
                <c:pt idx="20">
                  <c:v>0.2441860465116279</c:v>
                </c:pt>
                <c:pt idx="21">
                  <c:v>0.2558139534883721</c:v>
                </c:pt>
                <c:pt idx="22">
                  <c:v>0.26744186046511625</c:v>
                </c:pt>
                <c:pt idx="23">
                  <c:v>0.27906976744186046</c:v>
                </c:pt>
                <c:pt idx="24">
                  <c:v>0.29069767441860467</c:v>
                </c:pt>
                <c:pt idx="25">
                  <c:v>0.30232558139534882</c:v>
                </c:pt>
                <c:pt idx="26">
                  <c:v>0.31395348837209303</c:v>
                </c:pt>
                <c:pt idx="27">
                  <c:v>0.32558139534883723</c:v>
                </c:pt>
                <c:pt idx="28">
                  <c:v>0.33720930232558138</c:v>
                </c:pt>
                <c:pt idx="29">
                  <c:v>0.34883720930232559</c:v>
                </c:pt>
                <c:pt idx="30">
                  <c:v>0.36046511627906974</c:v>
                </c:pt>
                <c:pt idx="31">
                  <c:v>0.37209302325581395</c:v>
                </c:pt>
                <c:pt idx="32">
                  <c:v>0.38372093023255816</c:v>
                </c:pt>
                <c:pt idx="33">
                  <c:v>0.39534883720930231</c:v>
                </c:pt>
                <c:pt idx="34">
                  <c:v>0.40697674418604651</c:v>
                </c:pt>
                <c:pt idx="35">
                  <c:v>0.41860465116279072</c:v>
                </c:pt>
                <c:pt idx="36">
                  <c:v>0.43023255813953487</c:v>
                </c:pt>
                <c:pt idx="37">
                  <c:v>0.44186046511627908</c:v>
                </c:pt>
                <c:pt idx="38">
                  <c:v>0.45348837209302323</c:v>
                </c:pt>
                <c:pt idx="39">
                  <c:v>0.46511627906976744</c:v>
                </c:pt>
                <c:pt idx="40">
                  <c:v>0.47674418604651164</c:v>
                </c:pt>
                <c:pt idx="41">
                  <c:v>0.48837209302325579</c:v>
                </c:pt>
                <c:pt idx="42">
                  <c:v>0.5</c:v>
                </c:pt>
                <c:pt idx="43">
                  <c:v>0.51162790697674421</c:v>
                </c:pt>
                <c:pt idx="44">
                  <c:v>0.52325581395348841</c:v>
                </c:pt>
                <c:pt idx="45">
                  <c:v>0.53488372093023251</c:v>
                </c:pt>
                <c:pt idx="46">
                  <c:v>0.54651162790697672</c:v>
                </c:pt>
                <c:pt idx="47">
                  <c:v>0.55813953488372092</c:v>
                </c:pt>
                <c:pt idx="48">
                  <c:v>0.56976744186046513</c:v>
                </c:pt>
                <c:pt idx="49">
                  <c:v>0.58139534883720934</c:v>
                </c:pt>
                <c:pt idx="50">
                  <c:v>0.59302325581395354</c:v>
                </c:pt>
                <c:pt idx="51">
                  <c:v>0.60465116279069764</c:v>
                </c:pt>
                <c:pt idx="52">
                  <c:v>0.61627906976744184</c:v>
                </c:pt>
                <c:pt idx="53">
                  <c:v>0.62790697674418605</c:v>
                </c:pt>
                <c:pt idx="54">
                  <c:v>0.63953488372093026</c:v>
                </c:pt>
                <c:pt idx="55">
                  <c:v>0.65116279069767447</c:v>
                </c:pt>
                <c:pt idx="56">
                  <c:v>0.66279069767441856</c:v>
                </c:pt>
                <c:pt idx="57">
                  <c:v>0.67441860465116277</c:v>
                </c:pt>
                <c:pt idx="58">
                  <c:v>0.68604651162790697</c:v>
                </c:pt>
                <c:pt idx="59">
                  <c:v>0.69767441860465118</c:v>
                </c:pt>
                <c:pt idx="60">
                  <c:v>0.70930232558139539</c:v>
                </c:pt>
                <c:pt idx="61">
                  <c:v>0.72093023255813948</c:v>
                </c:pt>
                <c:pt idx="62">
                  <c:v>0.73255813953488369</c:v>
                </c:pt>
                <c:pt idx="63">
                  <c:v>0.7441860465116279</c:v>
                </c:pt>
                <c:pt idx="64">
                  <c:v>0.7558139534883721</c:v>
                </c:pt>
                <c:pt idx="65">
                  <c:v>0.76744186046511631</c:v>
                </c:pt>
                <c:pt idx="66">
                  <c:v>0.77906976744186052</c:v>
                </c:pt>
                <c:pt idx="67">
                  <c:v>0.79069767441860461</c:v>
                </c:pt>
                <c:pt idx="68">
                  <c:v>0.80232558139534882</c:v>
                </c:pt>
                <c:pt idx="69">
                  <c:v>0.81395348837209303</c:v>
                </c:pt>
                <c:pt idx="70">
                  <c:v>0.82558139534883723</c:v>
                </c:pt>
                <c:pt idx="71">
                  <c:v>0.83720930232558144</c:v>
                </c:pt>
                <c:pt idx="72">
                  <c:v>0.84883720930232553</c:v>
                </c:pt>
                <c:pt idx="73">
                  <c:v>0.86046511627906974</c:v>
                </c:pt>
                <c:pt idx="74">
                  <c:v>0.87209302325581395</c:v>
                </c:pt>
                <c:pt idx="75">
                  <c:v>0.88372093023255816</c:v>
                </c:pt>
                <c:pt idx="76">
                  <c:v>0.89534883720930236</c:v>
                </c:pt>
                <c:pt idx="77">
                  <c:v>0.90697674418604646</c:v>
                </c:pt>
                <c:pt idx="78">
                  <c:v>0.91860465116279066</c:v>
                </c:pt>
                <c:pt idx="79">
                  <c:v>0.93023255813953487</c:v>
                </c:pt>
                <c:pt idx="80">
                  <c:v>0.94186046511627908</c:v>
                </c:pt>
                <c:pt idx="81">
                  <c:v>0.95348837209302328</c:v>
                </c:pt>
                <c:pt idx="82">
                  <c:v>0.96511627906976749</c:v>
                </c:pt>
                <c:pt idx="83">
                  <c:v>0.97674418604651159</c:v>
                </c:pt>
                <c:pt idx="84">
                  <c:v>0.98837209302325579</c:v>
                </c:pt>
                <c:pt idx="85">
                  <c:v>1</c:v>
                </c:pt>
                <c:pt idx="8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66-4232-8011-F08CC0A67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642207"/>
        <c:axId val="427641727"/>
      </c:lineChart>
      <c:catAx>
        <c:axId val="427642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41727"/>
        <c:crosses val="autoZero"/>
        <c:auto val="1"/>
        <c:lblAlgn val="ctr"/>
        <c:lblOffset val="100"/>
        <c:noMultiLvlLbl val="0"/>
      </c:catAx>
      <c:valAx>
        <c:axId val="42764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4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Requests – LCOM CDF</a:t>
            </a:r>
          </a:p>
        </c:rich>
      </c:tx>
      <c:layout>
        <c:manualLayout>
          <c:xMode val="edge"/>
          <c:yMode val="edge"/>
          <c:x val="0.4007567804024496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LCOM_CDF!$A$1:$A$89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2</c:v>
                </c:pt>
                <c:pt idx="80">
                  <c:v>5</c:v>
                </c:pt>
                <c:pt idx="81">
                  <c:v>8</c:v>
                </c:pt>
                <c:pt idx="82">
                  <c:v>28</c:v>
                </c:pt>
                <c:pt idx="83">
                  <c:v>28</c:v>
                </c:pt>
                <c:pt idx="84">
                  <c:v>60</c:v>
                </c:pt>
                <c:pt idx="85">
                  <c:v>70</c:v>
                </c:pt>
                <c:pt idx="8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4-4FC5-9AF5-0C346A8249F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LCOM_CDF!$C$1:$C$89</c:f>
              <c:numCache>
                <c:formatCode>General</c:formatCode>
                <c:ptCount val="89"/>
                <c:pt idx="1">
                  <c:v>1.1627906976744186E-2</c:v>
                </c:pt>
                <c:pt idx="2">
                  <c:v>2.3255813953488372E-2</c:v>
                </c:pt>
                <c:pt idx="3">
                  <c:v>3.4883720930232558E-2</c:v>
                </c:pt>
                <c:pt idx="4">
                  <c:v>4.6511627906976744E-2</c:v>
                </c:pt>
                <c:pt idx="5">
                  <c:v>5.8139534883720929E-2</c:v>
                </c:pt>
                <c:pt idx="6">
                  <c:v>6.9767441860465115E-2</c:v>
                </c:pt>
                <c:pt idx="7">
                  <c:v>8.1395348837209308E-2</c:v>
                </c:pt>
                <c:pt idx="8">
                  <c:v>9.3023255813953487E-2</c:v>
                </c:pt>
                <c:pt idx="9">
                  <c:v>0.10465116279069768</c:v>
                </c:pt>
                <c:pt idx="10">
                  <c:v>0.11627906976744186</c:v>
                </c:pt>
                <c:pt idx="11">
                  <c:v>0.12790697674418605</c:v>
                </c:pt>
                <c:pt idx="12">
                  <c:v>0.13953488372093023</c:v>
                </c:pt>
                <c:pt idx="13">
                  <c:v>0.15116279069767441</c:v>
                </c:pt>
                <c:pt idx="14">
                  <c:v>0.16279069767441862</c:v>
                </c:pt>
                <c:pt idx="15">
                  <c:v>0.1744186046511628</c:v>
                </c:pt>
                <c:pt idx="16">
                  <c:v>0.18604651162790697</c:v>
                </c:pt>
                <c:pt idx="17">
                  <c:v>0.19767441860465115</c:v>
                </c:pt>
                <c:pt idx="18">
                  <c:v>0.20930232558139536</c:v>
                </c:pt>
                <c:pt idx="19">
                  <c:v>0.22093023255813954</c:v>
                </c:pt>
                <c:pt idx="20">
                  <c:v>0.23255813953488372</c:v>
                </c:pt>
                <c:pt idx="21">
                  <c:v>0.2441860465116279</c:v>
                </c:pt>
                <c:pt idx="22">
                  <c:v>0.2558139534883721</c:v>
                </c:pt>
                <c:pt idx="23">
                  <c:v>0.26744186046511625</c:v>
                </c:pt>
                <c:pt idx="24">
                  <c:v>0.27906976744186046</c:v>
                </c:pt>
                <c:pt idx="25">
                  <c:v>0.29069767441860467</c:v>
                </c:pt>
                <c:pt idx="26">
                  <c:v>0.30232558139534882</c:v>
                </c:pt>
                <c:pt idx="27">
                  <c:v>0.31395348837209303</c:v>
                </c:pt>
                <c:pt idx="28">
                  <c:v>0.32558139534883723</c:v>
                </c:pt>
                <c:pt idx="29">
                  <c:v>0.33720930232558138</c:v>
                </c:pt>
                <c:pt idx="30">
                  <c:v>0.34883720930232559</c:v>
                </c:pt>
                <c:pt idx="31">
                  <c:v>0.36046511627906974</c:v>
                </c:pt>
                <c:pt idx="32">
                  <c:v>0.37209302325581395</c:v>
                </c:pt>
                <c:pt idx="33">
                  <c:v>0.38372093023255816</c:v>
                </c:pt>
                <c:pt idx="34">
                  <c:v>0.39534883720930231</c:v>
                </c:pt>
                <c:pt idx="35">
                  <c:v>0.40697674418604651</c:v>
                </c:pt>
                <c:pt idx="36">
                  <c:v>0.41860465116279072</c:v>
                </c:pt>
                <c:pt idx="37">
                  <c:v>0.43023255813953487</c:v>
                </c:pt>
                <c:pt idx="38">
                  <c:v>0.44186046511627908</c:v>
                </c:pt>
                <c:pt idx="39">
                  <c:v>0.45348837209302323</c:v>
                </c:pt>
                <c:pt idx="40">
                  <c:v>0.46511627906976744</c:v>
                </c:pt>
                <c:pt idx="41">
                  <c:v>0.47674418604651164</c:v>
                </c:pt>
                <c:pt idx="42">
                  <c:v>0.48837209302325579</c:v>
                </c:pt>
                <c:pt idx="43">
                  <c:v>0.5</c:v>
                </c:pt>
                <c:pt idx="44">
                  <c:v>0.51162790697674421</c:v>
                </c:pt>
                <c:pt idx="45">
                  <c:v>0.52325581395348841</c:v>
                </c:pt>
                <c:pt idx="46">
                  <c:v>0.53488372093023251</c:v>
                </c:pt>
                <c:pt idx="47">
                  <c:v>0.54651162790697672</c:v>
                </c:pt>
                <c:pt idx="48">
                  <c:v>0.55813953488372092</c:v>
                </c:pt>
                <c:pt idx="49">
                  <c:v>0.56976744186046513</c:v>
                </c:pt>
                <c:pt idx="50">
                  <c:v>0.58139534883720934</c:v>
                </c:pt>
                <c:pt idx="51">
                  <c:v>0.59302325581395354</c:v>
                </c:pt>
                <c:pt idx="52">
                  <c:v>0.60465116279069764</c:v>
                </c:pt>
                <c:pt idx="53">
                  <c:v>0.61627906976744184</c:v>
                </c:pt>
                <c:pt idx="54">
                  <c:v>0.62790697674418605</c:v>
                </c:pt>
                <c:pt idx="55">
                  <c:v>0.63953488372093026</c:v>
                </c:pt>
                <c:pt idx="56">
                  <c:v>0.65116279069767447</c:v>
                </c:pt>
                <c:pt idx="57">
                  <c:v>0.66279069767441856</c:v>
                </c:pt>
                <c:pt idx="58">
                  <c:v>0.67441860465116277</c:v>
                </c:pt>
                <c:pt idx="59">
                  <c:v>0.68604651162790697</c:v>
                </c:pt>
                <c:pt idx="60">
                  <c:v>0.69767441860465118</c:v>
                </c:pt>
                <c:pt idx="61">
                  <c:v>0.70930232558139539</c:v>
                </c:pt>
                <c:pt idx="62">
                  <c:v>0.72093023255813948</c:v>
                </c:pt>
                <c:pt idx="63">
                  <c:v>0.73255813953488369</c:v>
                </c:pt>
                <c:pt idx="64">
                  <c:v>0.7441860465116279</c:v>
                </c:pt>
                <c:pt idx="65">
                  <c:v>0.7558139534883721</c:v>
                </c:pt>
                <c:pt idx="66">
                  <c:v>0.76744186046511631</c:v>
                </c:pt>
                <c:pt idx="67">
                  <c:v>0.77906976744186052</c:v>
                </c:pt>
                <c:pt idx="68">
                  <c:v>0.79069767441860461</c:v>
                </c:pt>
                <c:pt idx="69">
                  <c:v>0.80232558139534882</c:v>
                </c:pt>
                <c:pt idx="70">
                  <c:v>0.81395348837209303</c:v>
                </c:pt>
                <c:pt idx="71">
                  <c:v>0.82558139534883723</c:v>
                </c:pt>
                <c:pt idx="72">
                  <c:v>0.83720930232558144</c:v>
                </c:pt>
                <c:pt idx="73">
                  <c:v>0.84883720930232553</c:v>
                </c:pt>
                <c:pt idx="74">
                  <c:v>0.86046511627906974</c:v>
                </c:pt>
                <c:pt idx="75">
                  <c:v>0.87209302325581395</c:v>
                </c:pt>
                <c:pt idx="76">
                  <c:v>0.88372093023255816</c:v>
                </c:pt>
                <c:pt idx="77">
                  <c:v>0.89534883720930236</c:v>
                </c:pt>
                <c:pt idx="78">
                  <c:v>0.90697674418604646</c:v>
                </c:pt>
                <c:pt idx="79">
                  <c:v>0.91860465116279066</c:v>
                </c:pt>
                <c:pt idx="80">
                  <c:v>0.93023255813953487</c:v>
                </c:pt>
                <c:pt idx="81">
                  <c:v>0.94186046511627908</c:v>
                </c:pt>
                <c:pt idx="82">
                  <c:v>0.95348837209302328</c:v>
                </c:pt>
                <c:pt idx="83">
                  <c:v>0.96511627906976749</c:v>
                </c:pt>
                <c:pt idx="84">
                  <c:v>0.97674418604651159</c:v>
                </c:pt>
                <c:pt idx="85">
                  <c:v>0.98837209302325579</c:v>
                </c:pt>
                <c:pt idx="8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F4-4FC5-9AF5-0C346A824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135071"/>
        <c:axId val="1146463935"/>
      </c:lineChart>
      <c:catAx>
        <c:axId val="1183135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463935"/>
        <c:crosses val="autoZero"/>
        <c:auto val="1"/>
        <c:lblAlgn val="ctr"/>
        <c:lblOffset val="100"/>
        <c:noMultiLvlLbl val="0"/>
      </c:catAx>
      <c:valAx>
        <c:axId val="114646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3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Requests – CBO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500" b="1" i="0" u="none" strike="noStrike" cap="all" spc="100" baseline="0">
              <a:solidFill>
                <a:sysClr val="window" lastClr="FFFFFF"/>
              </a:solidFill>
              <a:latin typeface="Aptos Narrow" panose="02110004020202020204"/>
            </a:rPr>
            <a:t>Requests – CBO Histogram</a:t>
          </a:r>
        </a:p>
      </cx:txPr>
    </cx:title>
    <cx:plotArea>
      <cx:plotAreaRegion>
        <cx:series layoutId="clusteredColumn" uniqueId="{ED2C8700-F622-421D-92B1-24EB3810F8D7}">
          <cx:tx>
            <cx:txData>
              <cx:f>_xlchart.v1.10</cx:f>
              <cx:v/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Requests – LCOM Histogram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24D443D7-9880-490D-9B7A-F6586DF8E5EC}">
          <cx:tx>
            <cx:txData>
              <cx:f>_xlchart.v1.0</cx:f>
              <cx:v/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Requests – TCC Histogram</a:t>
            </a:r>
            <a:endPara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DC843A1-D5C5-471A-8C97-D7F6BF5E2BCE}">
          <cx:tx>
            <cx:txData>
              <cx:f>_xlchart.v1.2</cx:f>
              <cx:v/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/>
              <a:t>Requests – Fan-out Histogram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65B8EB4F-9F15-4088-A572-119117816153}">
          <cx:tx>
            <cx:txData>
              <cx:f>_xlchart.v1.4</cx:f>
              <cx:v/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Requests – Changes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r>
            <a:rPr lang="en-US"/>
            <a:t>Requests – Changes Histogram</a:t>
          </a:r>
        </a:p>
      </cx:txPr>
    </cx:title>
    <cx:plotArea>
      <cx:plotAreaRegion>
        <cx:series layoutId="clusteredColumn" uniqueId="{A2A0C54E-C0E6-4661-8AF9-FF1B0363A4E5}">
          <cx:tx>
            <cx:txData>
              <cx:f>_xlchart.v1.6</cx:f>
              <cx:v/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Requests – NLC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r>
            <a:rPr lang="en-US"/>
            <a:t>Requests – NLC Histogram</a:t>
          </a:r>
        </a:p>
      </cx:txPr>
    </cx:title>
    <cx:plotArea>
      <cx:plotAreaRegion>
        <cx:series layoutId="clusteredColumn" uniqueId="{075D0F1A-3532-48A0-BE6C-68094DB5B5C9}">
          <cx:tx>
            <cx:txData>
              <cx:f>_xlchart.v1.8</cx:f>
              <cx:v/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130175</xdr:colOff>
      <xdr:row>6</xdr:row>
      <xdr:rowOff>171450</xdr:rowOff>
    </xdr:from>
    <xdr:to>
      <xdr:col>21</xdr:col>
      <xdr:colOff>434975</xdr:colOff>
      <xdr:row>21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56DD059-D902-D296-29F3-97E129CDB7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64575" y="1276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142875</xdr:colOff>
      <xdr:row>22</xdr:row>
      <xdr:rowOff>44450</xdr:rowOff>
    </xdr:from>
    <xdr:to>
      <xdr:col>21</xdr:col>
      <xdr:colOff>447675</xdr:colOff>
      <xdr:row>37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DAD59CD-C231-43EA-3D1E-C2F7BF5625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77275" y="4095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3175</xdr:colOff>
      <xdr:row>6</xdr:row>
      <xdr:rowOff>158750</xdr:rowOff>
    </xdr:from>
    <xdr:to>
      <xdr:col>29</xdr:col>
      <xdr:colOff>307975</xdr:colOff>
      <xdr:row>21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4721FE9-3171-B35F-7F24-2282089F74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4375" y="1263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9525</xdr:colOff>
      <xdr:row>22</xdr:row>
      <xdr:rowOff>44450</xdr:rowOff>
    </xdr:from>
    <xdr:to>
      <xdr:col>29</xdr:col>
      <xdr:colOff>314325</xdr:colOff>
      <xdr:row>37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7642B51-2BF2-630B-2C37-2A54E89740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20725" y="4095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161925</xdr:colOff>
      <xdr:row>37</xdr:row>
      <xdr:rowOff>120650</xdr:rowOff>
    </xdr:from>
    <xdr:to>
      <xdr:col>21</xdr:col>
      <xdr:colOff>466725</xdr:colOff>
      <xdr:row>52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51BE347-1599-D8DA-DDFD-76BBD9C331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6325" y="6934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15875</xdr:colOff>
      <xdr:row>37</xdr:row>
      <xdr:rowOff>146050</xdr:rowOff>
    </xdr:from>
    <xdr:to>
      <xdr:col>29</xdr:col>
      <xdr:colOff>320675</xdr:colOff>
      <xdr:row>52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4EAC388-200F-46DA-27C8-A123A86E7E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27075" y="6959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5D8D2-62D0-18ED-B9D3-18BAA4C6D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4</xdr:row>
      <xdr:rowOff>95250</xdr:rowOff>
    </xdr:from>
    <xdr:to>
      <xdr:col>11</xdr:col>
      <xdr:colOff>180975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898B08-8EA8-CBD7-9849-4F2C79BED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4</xdr:row>
      <xdr:rowOff>95250</xdr:rowOff>
    </xdr:from>
    <xdr:to>
      <xdr:col>11</xdr:col>
      <xdr:colOff>180975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1B435-FF79-68AD-788A-3EEF4E8BA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4</xdr:row>
      <xdr:rowOff>95250</xdr:rowOff>
    </xdr:from>
    <xdr:to>
      <xdr:col>11</xdr:col>
      <xdr:colOff>180975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24031-36F5-AF6B-EEAE-E97D19E88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4</xdr:row>
      <xdr:rowOff>95250</xdr:rowOff>
    </xdr:from>
    <xdr:to>
      <xdr:col>11</xdr:col>
      <xdr:colOff>180975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8058B-FAF5-1455-7BBD-B6F54921B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4</xdr:row>
      <xdr:rowOff>95250</xdr:rowOff>
    </xdr:from>
    <xdr:to>
      <xdr:col>11</xdr:col>
      <xdr:colOff>180975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0A5B4-8F3A-35BD-128C-B1F01B129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8DF0-6164-4CCA-9C27-8A3A0D793DB9}">
  <dimension ref="A1:U88"/>
  <sheetViews>
    <sheetView topLeftCell="C1" workbookViewId="0">
      <selection activeCell="F1" sqref="F1:F1048576"/>
    </sheetView>
  </sheetViews>
  <sheetFormatPr defaultRowHeight="14.5" x14ac:dyDescent="0.35"/>
  <sheetData>
    <row r="1" spans="1:21" x14ac:dyDescent="0.35">
      <c r="P1" t="s">
        <v>111</v>
      </c>
      <c r="Q1" t="s">
        <v>112</v>
      </c>
      <c r="R1" t="s">
        <v>109</v>
      </c>
      <c r="S1" t="s">
        <v>119</v>
      </c>
      <c r="T1" t="s">
        <v>113</v>
      </c>
      <c r="U1" t="s">
        <v>110</v>
      </c>
    </row>
    <row r="2" spans="1:2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114</v>
      </c>
      <c r="P2">
        <f>AVERAGE(E:E)</f>
        <v>3.6279069767441858</v>
      </c>
      <c r="Q2">
        <f>AVERAGE(F:F)</f>
        <v>0.91308139534883725</v>
      </c>
      <c r="R2">
        <f>AVERAGE(G:G)</f>
        <v>14.023255813953488</v>
      </c>
      <c r="S2">
        <f>AVERAGE(H:H)</f>
        <v>19.290697674418606</v>
      </c>
      <c r="T2">
        <f>AVERAGE(K:K)</f>
        <v>8.6245348837209317</v>
      </c>
      <c r="U2">
        <f>AVERAGE(N:N)</f>
        <v>0</v>
      </c>
    </row>
    <row r="3" spans="1:21" x14ac:dyDescent="0.35">
      <c r="A3" t="s">
        <v>14</v>
      </c>
      <c r="B3" t="s">
        <v>15</v>
      </c>
      <c r="C3">
        <v>3</v>
      </c>
      <c r="D3">
        <v>0</v>
      </c>
      <c r="E3">
        <v>0</v>
      </c>
      <c r="F3">
        <v>1</v>
      </c>
      <c r="G3">
        <v>16</v>
      </c>
      <c r="H3">
        <v>1</v>
      </c>
      <c r="I3">
        <v>80</v>
      </c>
      <c r="J3">
        <v>0</v>
      </c>
      <c r="K3">
        <v>80</v>
      </c>
      <c r="L3">
        <v>1</v>
      </c>
      <c r="M3">
        <v>0</v>
      </c>
      <c r="N3">
        <v>0</v>
      </c>
      <c r="O3" t="s">
        <v>115</v>
      </c>
      <c r="P3">
        <f>MEDIAN(E:E)</f>
        <v>0</v>
      </c>
      <c r="Q3">
        <f>MEDIAN(F:F)</f>
        <v>1</v>
      </c>
      <c r="R3">
        <f>MEDIAN(G:G)</f>
        <v>3</v>
      </c>
      <c r="S3">
        <f>MEDIAN(H:H)</f>
        <v>3</v>
      </c>
      <c r="T3">
        <f>MEDIAN(K:K)</f>
        <v>4.8</v>
      </c>
      <c r="U3">
        <f>MEDIAN(N:N)</f>
        <v>0</v>
      </c>
    </row>
    <row r="4" spans="1:21" x14ac:dyDescent="0.35">
      <c r="A4" t="s">
        <v>16</v>
      </c>
      <c r="B4" t="s">
        <v>17</v>
      </c>
      <c r="C4">
        <v>4</v>
      </c>
      <c r="D4">
        <v>3</v>
      </c>
      <c r="E4">
        <v>0</v>
      </c>
      <c r="F4">
        <v>1</v>
      </c>
      <c r="G4">
        <v>2</v>
      </c>
      <c r="H4">
        <v>6</v>
      </c>
      <c r="I4">
        <v>40</v>
      </c>
      <c r="J4">
        <v>10</v>
      </c>
      <c r="K4">
        <v>8.33</v>
      </c>
      <c r="L4">
        <v>4</v>
      </c>
      <c r="M4">
        <v>0</v>
      </c>
      <c r="N4">
        <v>0</v>
      </c>
      <c r="O4" t="s">
        <v>116</v>
      </c>
      <c r="P4">
        <f>MIN(E:E)</f>
        <v>0</v>
      </c>
      <c r="Q4">
        <f>MIN(F:F)</f>
        <v>4.4999999999999998E-2</v>
      </c>
      <c r="R4">
        <f>MIN(G:G)</f>
        <v>0</v>
      </c>
      <c r="S4">
        <f>MIN(H:H)</f>
        <v>0</v>
      </c>
      <c r="T4">
        <f>MIN(K:K)</f>
        <v>0</v>
      </c>
      <c r="U4">
        <f>MIN(N:N)</f>
        <v>0</v>
      </c>
    </row>
    <row r="5" spans="1:21" x14ac:dyDescent="0.35">
      <c r="A5" t="s">
        <v>18</v>
      </c>
      <c r="B5" t="s">
        <v>17</v>
      </c>
      <c r="C5">
        <v>17</v>
      </c>
      <c r="D5">
        <v>15</v>
      </c>
      <c r="E5">
        <v>5</v>
      </c>
      <c r="F5">
        <v>0.44400000000000001</v>
      </c>
      <c r="G5">
        <v>101</v>
      </c>
      <c r="H5">
        <v>170</v>
      </c>
      <c r="I5">
        <v>1212</v>
      </c>
      <c r="J5">
        <v>658</v>
      </c>
      <c r="K5">
        <v>11</v>
      </c>
      <c r="L5">
        <v>56</v>
      </c>
      <c r="M5">
        <v>0</v>
      </c>
      <c r="N5">
        <v>0</v>
      </c>
      <c r="O5" t="s">
        <v>117</v>
      </c>
      <c r="P5">
        <f>MAX(E:E)</f>
        <v>110</v>
      </c>
      <c r="Q5">
        <f>MAX(F:F)</f>
        <v>1</v>
      </c>
      <c r="R5">
        <f>MAX(G:G)</f>
        <v>234</v>
      </c>
      <c r="S5">
        <f>MAX(H:H)</f>
        <v>329</v>
      </c>
      <c r="T5">
        <f>MAX(K:K)</f>
        <v>80</v>
      </c>
      <c r="U5">
        <f>MAX(N:N)</f>
        <v>0</v>
      </c>
    </row>
    <row r="6" spans="1:21" x14ac:dyDescent="0.35">
      <c r="A6" t="s">
        <v>19</v>
      </c>
      <c r="B6" t="s">
        <v>20</v>
      </c>
      <c r="C6">
        <v>2</v>
      </c>
      <c r="D6">
        <v>1</v>
      </c>
      <c r="E6">
        <v>0</v>
      </c>
      <c r="F6">
        <v>1</v>
      </c>
      <c r="G6">
        <v>1</v>
      </c>
      <c r="H6">
        <v>5</v>
      </c>
      <c r="I6">
        <v>15</v>
      </c>
      <c r="J6">
        <v>8</v>
      </c>
      <c r="K6">
        <v>4.5999999999999996</v>
      </c>
      <c r="L6">
        <v>4</v>
      </c>
      <c r="M6">
        <v>0</v>
      </c>
      <c r="N6">
        <v>0</v>
      </c>
      <c r="O6" t="s">
        <v>118</v>
      </c>
      <c r="P6">
        <f>_xlfn.STDEV.S(E:E)</f>
        <v>15.766715881418126</v>
      </c>
      <c r="Q6">
        <f>_xlfn.STDEV.S(F:F)</f>
        <v>0.22606033630381697</v>
      </c>
      <c r="R6">
        <f>_xlfn.STDEV.S(G:G)</f>
        <v>30.785778513572311</v>
      </c>
      <c r="S6">
        <f>_xlfn.STDEV.S(H:H)</f>
        <v>52.806609719766705</v>
      </c>
      <c r="T6">
        <f>_xlfn.STDEV.S(K:K)</f>
        <v>11.473762053636751</v>
      </c>
      <c r="U6">
        <f>_xlfn.STDEV.S(N:N)</f>
        <v>0</v>
      </c>
    </row>
    <row r="7" spans="1:21" x14ac:dyDescent="0.35">
      <c r="A7" t="s">
        <v>21</v>
      </c>
      <c r="B7" t="s">
        <v>20</v>
      </c>
      <c r="C7">
        <v>5</v>
      </c>
      <c r="D7">
        <v>4</v>
      </c>
      <c r="E7">
        <v>0</v>
      </c>
      <c r="F7">
        <v>1</v>
      </c>
      <c r="G7">
        <v>9</v>
      </c>
      <c r="H7">
        <v>10</v>
      </c>
      <c r="I7">
        <v>37</v>
      </c>
      <c r="J7">
        <v>14</v>
      </c>
      <c r="K7">
        <v>5.0999999999999996</v>
      </c>
      <c r="L7">
        <v>8</v>
      </c>
      <c r="M7">
        <v>0</v>
      </c>
      <c r="N7">
        <v>0</v>
      </c>
    </row>
    <row r="8" spans="1:21" x14ac:dyDescent="0.35">
      <c r="A8" t="s">
        <v>22</v>
      </c>
      <c r="B8" t="s">
        <v>20</v>
      </c>
      <c r="C8">
        <v>2</v>
      </c>
      <c r="D8">
        <v>1</v>
      </c>
      <c r="E8">
        <v>0</v>
      </c>
      <c r="F8">
        <v>1</v>
      </c>
      <c r="G8">
        <v>4</v>
      </c>
      <c r="H8">
        <v>7</v>
      </c>
      <c r="I8">
        <v>13</v>
      </c>
      <c r="J8">
        <v>5</v>
      </c>
      <c r="K8">
        <v>2.57</v>
      </c>
      <c r="L8">
        <v>6</v>
      </c>
      <c r="M8">
        <v>0</v>
      </c>
      <c r="N8">
        <v>0</v>
      </c>
    </row>
    <row r="9" spans="1:21" x14ac:dyDescent="0.35">
      <c r="A9" t="s">
        <v>23</v>
      </c>
      <c r="B9" t="s">
        <v>20</v>
      </c>
      <c r="C9">
        <v>9</v>
      </c>
      <c r="D9">
        <v>8</v>
      </c>
      <c r="E9">
        <v>0</v>
      </c>
      <c r="F9">
        <v>0.81</v>
      </c>
      <c r="G9">
        <v>54</v>
      </c>
      <c r="H9">
        <v>76</v>
      </c>
      <c r="I9">
        <v>720</v>
      </c>
      <c r="J9">
        <v>512</v>
      </c>
      <c r="K9">
        <v>16.21</v>
      </c>
      <c r="L9">
        <v>38</v>
      </c>
      <c r="M9">
        <v>0</v>
      </c>
      <c r="N9">
        <v>0</v>
      </c>
    </row>
    <row r="10" spans="1:21" x14ac:dyDescent="0.35">
      <c r="A10" t="s">
        <v>24</v>
      </c>
      <c r="B10" t="s">
        <v>25</v>
      </c>
      <c r="C10">
        <v>15</v>
      </c>
      <c r="D10">
        <v>14</v>
      </c>
      <c r="E10">
        <v>28</v>
      </c>
      <c r="F10">
        <v>0.28799999999999998</v>
      </c>
      <c r="G10">
        <v>12</v>
      </c>
      <c r="H10">
        <v>20</v>
      </c>
      <c r="I10">
        <v>118</v>
      </c>
      <c r="J10">
        <v>38</v>
      </c>
      <c r="K10">
        <v>7.8</v>
      </c>
      <c r="L10">
        <v>10</v>
      </c>
      <c r="M10">
        <v>0</v>
      </c>
      <c r="N10">
        <v>0</v>
      </c>
    </row>
    <row r="11" spans="1:21" x14ac:dyDescent="0.35">
      <c r="A11" t="s">
        <v>26</v>
      </c>
      <c r="B11" t="s">
        <v>25</v>
      </c>
      <c r="C11">
        <v>4</v>
      </c>
      <c r="D11">
        <v>3</v>
      </c>
      <c r="E11">
        <v>0</v>
      </c>
      <c r="F11">
        <v>1</v>
      </c>
      <c r="G11">
        <v>3</v>
      </c>
      <c r="H11">
        <v>4</v>
      </c>
      <c r="I11">
        <v>24</v>
      </c>
      <c r="J11">
        <v>3</v>
      </c>
      <c r="K11">
        <v>6.75</v>
      </c>
      <c r="L11">
        <v>4</v>
      </c>
      <c r="M11">
        <v>0</v>
      </c>
      <c r="N11">
        <v>0</v>
      </c>
    </row>
    <row r="12" spans="1:21" x14ac:dyDescent="0.35">
      <c r="A12" t="s">
        <v>27</v>
      </c>
      <c r="B12" t="s">
        <v>25</v>
      </c>
      <c r="C12">
        <v>1</v>
      </c>
      <c r="D12">
        <v>0</v>
      </c>
      <c r="E12">
        <v>0</v>
      </c>
      <c r="F12">
        <v>1</v>
      </c>
      <c r="G12">
        <v>1</v>
      </c>
      <c r="H12">
        <v>3</v>
      </c>
      <c r="I12">
        <v>8</v>
      </c>
      <c r="J12">
        <v>2</v>
      </c>
      <c r="K12">
        <v>3.33</v>
      </c>
      <c r="L12">
        <v>3</v>
      </c>
      <c r="M12">
        <v>0</v>
      </c>
      <c r="N12">
        <v>0</v>
      </c>
    </row>
    <row r="13" spans="1:21" x14ac:dyDescent="0.35">
      <c r="A13" t="s">
        <v>28</v>
      </c>
      <c r="B13" t="s">
        <v>25</v>
      </c>
      <c r="C13">
        <v>25</v>
      </c>
      <c r="D13">
        <v>24</v>
      </c>
      <c r="E13">
        <v>60</v>
      </c>
      <c r="F13">
        <v>4.4999999999999998E-2</v>
      </c>
      <c r="G13">
        <v>32</v>
      </c>
      <c r="H13">
        <v>32</v>
      </c>
      <c r="I13">
        <v>450</v>
      </c>
      <c r="J13">
        <v>186</v>
      </c>
      <c r="K13">
        <v>19.88</v>
      </c>
      <c r="L13">
        <v>19</v>
      </c>
      <c r="M13">
        <v>0</v>
      </c>
      <c r="N13">
        <v>0</v>
      </c>
    </row>
    <row r="14" spans="1:21" x14ac:dyDescent="0.35">
      <c r="A14" t="s">
        <v>29</v>
      </c>
      <c r="B14" t="s">
        <v>30</v>
      </c>
      <c r="C14">
        <v>2</v>
      </c>
      <c r="D14">
        <v>1</v>
      </c>
      <c r="E14">
        <v>0</v>
      </c>
      <c r="F14">
        <v>1</v>
      </c>
      <c r="G14">
        <v>7</v>
      </c>
      <c r="H14">
        <v>10</v>
      </c>
      <c r="I14">
        <v>30</v>
      </c>
      <c r="J14">
        <v>15</v>
      </c>
      <c r="K14">
        <v>4.5</v>
      </c>
      <c r="L14">
        <v>8</v>
      </c>
      <c r="M14">
        <v>0</v>
      </c>
      <c r="N14">
        <v>0</v>
      </c>
    </row>
    <row r="15" spans="1:21" x14ac:dyDescent="0.35">
      <c r="A15" t="s">
        <v>31</v>
      </c>
      <c r="B15" t="s">
        <v>30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4</v>
      </c>
      <c r="J15">
        <v>0</v>
      </c>
      <c r="K15">
        <v>4</v>
      </c>
      <c r="L15">
        <v>1</v>
      </c>
      <c r="M15">
        <v>0</v>
      </c>
      <c r="N15">
        <v>0</v>
      </c>
    </row>
    <row r="16" spans="1:21" x14ac:dyDescent="0.35">
      <c r="A16" t="s">
        <v>32</v>
      </c>
      <c r="B16" t="s">
        <v>30</v>
      </c>
      <c r="C16">
        <v>3</v>
      </c>
      <c r="D16">
        <v>2</v>
      </c>
      <c r="E16">
        <v>0</v>
      </c>
      <c r="F16">
        <v>1</v>
      </c>
      <c r="G16">
        <v>5</v>
      </c>
      <c r="H16">
        <v>3</v>
      </c>
      <c r="I16">
        <v>24</v>
      </c>
      <c r="J16">
        <v>0</v>
      </c>
      <c r="K16">
        <v>8</v>
      </c>
      <c r="L16">
        <v>3</v>
      </c>
      <c r="M16">
        <v>0</v>
      </c>
      <c r="N16">
        <v>0</v>
      </c>
    </row>
    <row r="17" spans="1:14" x14ac:dyDescent="0.35">
      <c r="A17" t="s">
        <v>33</v>
      </c>
      <c r="B17" t="s">
        <v>30</v>
      </c>
      <c r="C17">
        <v>1</v>
      </c>
      <c r="D17">
        <v>0</v>
      </c>
      <c r="E17">
        <v>0</v>
      </c>
      <c r="F17">
        <v>1</v>
      </c>
      <c r="G17">
        <v>1</v>
      </c>
      <c r="H17">
        <v>6</v>
      </c>
      <c r="I17">
        <v>11</v>
      </c>
      <c r="J17">
        <v>7</v>
      </c>
      <c r="K17">
        <v>3</v>
      </c>
      <c r="L17">
        <v>5</v>
      </c>
      <c r="M17">
        <v>0</v>
      </c>
      <c r="N17">
        <v>0</v>
      </c>
    </row>
    <row r="18" spans="1:14" x14ac:dyDescent="0.35">
      <c r="A18" t="s">
        <v>34</v>
      </c>
      <c r="B18" t="s">
        <v>30</v>
      </c>
      <c r="C18">
        <v>1</v>
      </c>
      <c r="D18">
        <v>0</v>
      </c>
      <c r="E18">
        <v>0</v>
      </c>
      <c r="F18">
        <v>1</v>
      </c>
      <c r="G18">
        <v>1</v>
      </c>
      <c r="H18">
        <v>5</v>
      </c>
      <c r="I18">
        <v>8</v>
      </c>
      <c r="J18">
        <v>4</v>
      </c>
      <c r="K18">
        <v>2.4</v>
      </c>
      <c r="L18">
        <v>4</v>
      </c>
      <c r="M18">
        <v>0</v>
      </c>
      <c r="N18">
        <v>0</v>
      </c>
    </row>
    <row r="19" spans="1:14" x14ac:dyDescent="0.35">
      <c r="A19" t="s">
        <v>35</v>
      </c>
      <c r="B19" t="s">
        <v>30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4</v>
      </c>
      <c r="J19">
        <v>0</v>
      </c>
      <c r="K19">
        <v>4</v>
      </c>
      <c r="L19">
        <v>1</v>
      </c>
      <c r="M19">
        <v>0</v>
      </c>
      <c r="N19">
        <v>0</v>
      </c>
    </row>
    <row r="20" spans="1:14" x14ac:dyDescent="0.35">
      <c r="A20" t="s">
        <v>36</v>
      </c>
      <c r="B20" t="s">
        <v>30</v>
      </c>
      <c r="C20">
        <v>1</v>
      </c>
      <c r="D20">
        <v>0</v>
      </c>
      <c r="E20">
        <v>0</v>
      </c>
      <c r="F20">
        <v>1</v>
      </c>
      <c r="G20">
        <v>1</v>
      </c>
      <c r="H20">
        <v>2</v>
      </c>
      <c r="I20">
        <v>4</v>
      </c>
      <c r="J20">
        <v>0</v>
      </c>
      <c r="K20">
        <v>2</v>
      </c>
      <c r="L20">
        <v>2</v>
      </c>
      <c r="M20">
        <v>0</v>
      </c>
      <c r="N20">
        <v>0</v>
      </c>
    </row>
    <row r="21" spans="1:14" x14ac:dyDescent="0.35">
      <c r="A21" t="s">
        <v>37</v>
      </c>
      <c r="B21" t="s">
        <v>30</v>
      </c>
      <c r="C21">
        <v>1</v>
      </c>
      <c r="D21">
        <v>0</v>
      </c>
      <c r="E21">
        <v>0</v>
      </c>
      <c r="F21">
        <v>1</v>
      </c>
      <c r="G21">
        <v>1</v>
      </c>
      <c r="H21">
        <v>3</v>
      </c>
      <c r="I21">
        <v>12</v>
      </c>
      <c r="J21">
        <v>3</v>
      </c>
      <c r="K21">
        <v>5</v>
      </c>
      <c r="L21">
        <v>2</v>
      </c>
      <c r="M21">
        <v>0</v>
      </c>
      <c r="N21">
        <v>0</v>
      </c>
    </row>
    <row r="22" spans="1:14" x14ac:dyDescent="0.35">
      <c r="A22" t="s">
        <v>38</v>
      </c>
      <c r="B22" t="s">
        <v>30</v>
      </c>
      <c r="C22">
        <v>1</v>
      </c>
      <c r="D22">
        <v>0</v>
      </c>
      <c r="E22">
        <v>0</v>
      </c>
      <c r="F22">
        <v>1</v>
      </c>
      <c r="G22">
        <v>2</v>
      </c>
      <c r="H22">
        <v>4</v>
      </c>
      <c r="I22">
        <v>12</v>
      </c>
      <c r="J22">
        <v>5</v>
      </c>
      <c r="K22">
        <v>4.25</v>
      </c>
      <c r="L22">
        <v>2</v>
      </c>
      <c r="M22">
        <v>0</v>
      </c>
      <c r="N22">
        <v>0</v>
      </c>
    </row>
    <row r="23" spans="1:14" x14ac:dyDescent="0.35">
      <c r="A23" t="s">
        <v>39</v>
      </c>
      <c r="B23" t="s">
        <v>30</v>
      </c>
      <c r="C23">
        <v>1</v>
      </c>
      <c r="D23">
        <v>0</v>
      </c>
      <c r="E23">
        <v>0</v>
      </c>
      <c r="F23">
        <v>1</v>
      </c>
      <c r="G23">
        <v>1</v>
      </c>
      <c r="H23">
        <v>3</v>
      </c>
      <c r="I23">
        <v>5</v>
      </c>
      <c r="J23">
        <v>1</v>
      </c>
      <c r="K23">
        <v>2</v>
      </c>
      <c r="L23">
        <v>3</v>
      </c>
      <c r="M23">
        <v>0</v>
      </c>
      <c r="N23">
        <v>0</v>
      </c>
    </row>
    <row r="24" spans="1:14" x14ac:dyDescent="0.35">
      <c r="A24" t="s">
        <v>40</v>
      </c>
      <c r="B24" t="s">
        <v>30</v>
      </c>
      <c r="C24">
        <v>1</v>
      </c>
      <c r="D24">
        <v>0</v>
      </c>
      <c r="E24">
        <v>0</v>
      </c>
      <c r="F24">
        <v>1</v>
      </c>
      <c r="G24">
        <v>1</v>
      </c>
      <c r="H24">
        <v>2</v>
      </c>
      <c r="I24">
        <v>4</v>
      </c>
      <c r="J24">
        <v>0</v>
      </c>
      <c r="K24">
        <v>2</v>
      </c>
      <c r="L24">
        <v>2</v>
      </c>
      <c r="M24">
        <v>0</v>
      </c>
      <c r="N24">
        <v>0</v>
      </c>
    </row>
    <row r="25" spans="1:14" x14ac:dyDescent="0.35">
      <c r="A25" t="s">
        <v>41</v>
      </c>
      <c r="B25" t="s">
        <v>30</v>
      </c>
      <c r="C25">
        <v>1</v>
      </c>
      <c r="D25">
        <v>0</v>
      </c>
      <c r="E25">
        <v>0</v>
      </c>
      <c r="F25">
        <v>1</v>
      </c>
      <c r="G25">
        <v>1</v>
      </c>
      <c r="H25">
        <v>3</v>
      </c>
      <c r="I25">
        <v>4</v>
      </c>
      <c r="J25">
        <v>0</v>
      </c>
      <c r="K25">
        <v>1.33</v>
      </c>
      <c r="L25">
        <v>3</v>
      </c>
      <c r="M25">
        <v>0</v>
      </c>
      <c r="N25">
        <v>0</v>
      </c>
    </row>
    <row r="26" spans="1:14" x14ac:dyDescent="0.35">
      <c r="A26" t="s">
        <v>42</v>
      </c>
      <c r="B26" t="s">
        <v>30</v>
      </c>
      <c r="C26">
        <v>1</v>
      </c>
      <c r="D26">
        <v>0</v>
      </c>
      <c r="E26">
        <v>0</v>
      </c>
      <c r="F26">
        <v>1</v>
      </c>
      <c r="G26">
        <v>2</v>
      </c>
      <c r="H26">
        <v>3</v>
      </c>
      <c r="I26">
        <v>5</v>
      </c>
      <c r="J26">
        <v>1</v>
      </c>
      <c r="K26">
        <v>2</v>
      </c>
      <c r="L26">
        <v>3</v>
      </c>
      <c r="M26">
        <v>0</v>
      </c>
      <c r="N26">
        <v>0</v>
      </c>
    </row>
    <row r="27" spans="1:14" x14ac:dyDescent="0.35">
      <c r="A27" t="s">
        <v>43</v>
      </c>
      <c r="B27" t="s">
        <v>30</v>
      </c>
      <c r="C27">
        <v>1</v>
      </c>
      <c r="D27">
        <v>0</v>
      </c>
      <c r="E27">
        <v>0</v>
      </c>
      <c r="F27">
        <v>1</v>
      </c>
      <c r="G27">
        <v>2</v>
      </c>
      <c r="H27">
        <v>5</v>
      </c>
      <c r="I27">
        <v>7</v>
      </c>
      <c r="J27">
        <v>3</v>
      </c>
      <c r="K27">
        <v>2</v>
      </c>
      <c r="L27">
        <v>5</v>
      </c>
      <c r="M27">
        <v>0</v>
      </c>
      <c r="N27">
        <v>0</v>
      </c>
    </row>
    <row r="28" spans="1:14" x14ac:dyDescent="0.35">
      <c r="A28" t="s">
        <v>44</v>
      </c>
      <c r="B28" t="s">
        <v>30</v>
      </c>
      <c r="C28">
        <v>1</v>
      </c>
      <c r="D28">
        <v>0</v>
      </c>
      <c r="E28">
        <v>0</v>
      </c>
      <c r="F28">
        <v>1</v>
      </c>
      <c r="G28">
        <v>2</v>
      </c>
      <c r="H28">
        <v>4</v>
      </c>
      <c r="I28">
        <v>7</v>
      </c>
      <c r="J28">
        <v>3</v>
      </c>
      <c r="K28">
        <v>2.5</v>
      </c>
      <c r="L28">
        <v>4</v>
      </c>
      <c r="M28">
        <v>0</v>
      </c>
      <c r="N28">
        <v>0</v>
      </c>
    </row>
    <row r="29" spans="1:14" x14ac:dyDescent="0.35">
      <c r="A29" t="s">
        <v>45</v>
      </c>
      <c r="B29" t="s">
        <v>30</v>
      </c>
      <c r="C29">
        <v>1</v>
      </c>
      <c r="D29">
        <v>0</v>
      </c>
      <c r="E29">
        <v>0</v>
      </c>
      <c r="F29">
        <v>1</v>
      </c>
      <c r="G29">
        <v>2</v>
      </c>
      <c r="H29">
        <v>5</v>
      </c>
      <c r="I29">
        <v>7</v>
      </c>
      <c r="J29">
        <v>3</v>
      </c>
      <c r="K29">
        <v>2</v>
      </c>
      <c r="L29">
        <v>5</v>
      </c>
      <c r="M29">
        <v>0</v>
      </c>
      <c r="N29">
        <v>0</v>
      </c>
    </row>
    <row r="30" spans="1:14" x14ac:dyDescent="0.35">
      <c r="A30" t="s">
        <v>46</v>
      </c>
      <c r="B30" t="s">
        <v>30</v>
      </c>
      <c r="C30">
        <v>1</v>
      </c>
      <c r="D30">
        <v>0</v>
      </c>
      <c r="E30">
        <v>0</v>
      </c>
      <c r="F30">
        <v>1</v>
      </c>
      <c r="G30">
        <v>1</v>
      </c>
      <c r="H30">
        <v>1</v>
      </c>
      <c r="I30">
        <v>4</v>
      </c>
      <c r="J30">
        <v>0</v>
      </c>
      <c r="K30">
        <v>4</v>
      </c>
      <c r="L30">
        <v>1</v>
      </c>
      <c r="M30">
        <v>0</v>
      </c>
      <c r="N30">
        <v>0</v>
      </c>
    </row>
    <row r="31" spans="1:14" x14ac:dyDescent="0.35">
      <c r="A31" t="s">
        <v>47</v>
      </c>
      <c r="B31" t="s">
        <v>30</v>
      </c>
      <c r="C31">
        <v>1</v>
      </c>
      <c r="D31">
        <v>0</v>
      </c>
      <c r="E31">
        <v>0</v>
      </c>
      <c r="F31">
        <v>1</v>
      </c>
      <c r="G31">
        <v>1</v>
      </c>
      <c r="H31">
        <v>2</v>
      </c>
      <c r="I31">
        <v>4</v>
      </c>
      <c r="J31">
        <v>0</v>
      </c>
      <c r="K31">
        <v>2</v>
      </c>
      <c r="L31">
        <v>2</v>
      </c>
      <c r="M31">
        <v>0</v>
      </c>
      <c r="N31">
        <v>0</v>
      </c>
    </row>
    <row r="32" spans="1:14" x14ac:dyDescent="0.35">
      <c r="A32" t="s">
        <v>48</v>
      </c>
      <c r="B32" t="s">
        <v>30</v>
      </c>
      <c r="C32">
        <v>1</v>
      </c>
      <c r="D32">
        <v>0</v>
      </c>
      <c r="E32">
        <v>0</v>
      </c>
      <c r="F32">
        <v>1</v>
      </c>
      <c r="G32">
        <v>2</v>
      </c>
      <c r="H32">
        <v>5</v>
      </c>
      <c r="I32">
        <v>6</v>
      </c>
      <c r="J32">
        <v>2</v>
      </c>
      <c r="K32">
        <v>1.6</v>
      </c>
      <c r="L32">
        <v>5</v>
      </c>
      <c r="M32">
        <v>0</v>
      </c>
      <c r="N32">
        <v>0</v>
      </c>
    </row>
    <row r="33" spans="1:14" x14ac:dyDescent="0.35">
      <c r="A33" t="s">
        <v>49</v>
      </c>
      <c r="B33" t="s">
        <v>30</v>
      </c>
      <c r="C33">
        <v>1</v>
      </c>
      <c r="D33">
        <v>0</v>
      </c>
      <c r="E33">
        <v>0</v>
      </c>
      <c r="F33">
        <v>1</v>
      </c>
      <c r="G33">
        <v>2</v>
      </c>
      <c r="H33">
        <v>4</v>
      </c>
      <c r="I33">
        <v>6</v>
      </c>
      <c r="J33">
        <v>2</v>
      </c>
      <c r="K33">
        <v>2</v>
      </c>
      <c r="L33">
        <v>3</v>
      </c>
      <c r="M33">
        <v>0</v>
      </c>
      <c r="N33">
        <v>0</v>
      </c>
    </row>
    <row r="34" spans="1:14" x14ac:dyDescent="0.35">
      <c r="A34" t="s">
        <v>50</v>
      </c>
      <c r="B34" t="s">
        <v>30</v>
      </c>
      <c r="C34">
        <v>1</v>
      </c>
      <c r="D34">
        <v>0</v>
      </c>
      <c r="E34">
        <v>0</v>
      </c>
      <c r="F34">
        <v>1</v>
      </c>
      <c r="G34">
        <v>1</v>
      </c>
      <c r="H34">
        <v>3</v>
      </c>
      <c r="I34">
        <v>4</v>
      </c>
      <c r="J34">
        <v>0</v>
      </c>
      <c r="K34">
        <v>1.33</v>
      </c>
      <c r="L34">
        <v>3</v>
      </c>
      <c r="M34">
        <v>0</v>
      </c>
      <c r="N34">
        <v>0</v>
      </c>
    </row>
    <row r="35" spans="1:14" x14ac:dyDescent="0.35">
      <c r="A35" t="s">
        <v>51</v>
      </c>
      <c r="B35" t="s">
        <v>30</v>
      </c>
      <c r="C35">
        <v>1</v>
      </c>
      <c r="D35">
        <v>0</v>
      </c>
      <c r="E35">
        <v>0</v>
      </c>
      <c r="F35">
        <v>1</v>
      </c>
      <c r="G35">
        <v>1</v>
      </c>
      <c r="H35">
        <v>4</v>
      </c>
      <c r="I35">
        <v>8</v>
      </c>
      <c r="J35">
        <v>1</v>
      </c>
      <c r="K35">
        <v>2.25</v>
      </c>
      <c r="L35">
        <v>4</v>
      </c>
      <c r="M35">
        <v>0</v>
      </c>
      <c r="N35">
        <v>0</v>
      </c>
    </row>
    <row r="36" spans="1:14" x14ac:dyDescent="0.35">
      <c r="A36" t="s">
        <v>52</v>
      </c>
      <c r="B36" t="s">
        <v>30</v>
      </c>
      <c r="C36">
        <v>1</v>
      </c>
      <c r="D36">
        <v>0</v>
      </c>
      <c r="E36">
        <v>0</v>
      </c>
      <c r="F36">
        <v>1</v>
      </c>
      <c r="G36">
        <v>1</v>
      </c>
      <c r="H36">
        <v>2</v>
      </c>
      <c r="I36">
        <v>5</v>
      </c>
      <c r="J36">
        <v>1</v>
      </c>
      <c r="K36">
        <v>3</v>
      </c>
      <c r="L36">
        <v>2</v>
      </c>
      <c r="M36">
        <v>0</v>
      </c>
      <c r="N36">
        <v>0</v>
      </c>
    </row>
    <row r="37" spans="1:14" x14ac:dyDescent="0.35">
      <c r="A37" t="s">
        <v>53</v>
      </c>
      <c r="B37" t="s">
        <v>30</v>
      </c>
      <c r="C37">
        <v>1</v>
      </c>
      <c r="D37">
        <v>0</v>
      </c>
      <c r="E37">
        <v>0</v>
      </c>
      <c r="F37">
        <v>1</v>
      </c>
      <c r="G37">
        <v>2</v>
      </c>
      <c r="H37">
        <v>4</v>
      </c>
      <c r="I37">
        <v>8</v>
      </c>
      <c r="J37">
        <v>4</v>
      </c>
      <c r="K37">
        <v>3</v>
      </c>
      <c r="L37">
        <v>3</v>
      </c>
      <c r="M37">
        <v>0</v>
      </c>
      <c r="N37">
        <v>0</v>
      </c>
    </row>
    <row r="38" spans="1:14" x14ac:dyDescent="0.35">
      <c r="A38" t="s">
        <v>54</v>
      </c>
      <c r="B38" t="s">
        <v>30</v>
      </c>
      <c r="C38">
        <v>1</v>
      </c>
      <c r="D38">
        <v>0</v>
      </c>
      <c r="E38">
        <v>0</v>
      </c>
      <c r="F38">
        <v>1</v>
      </c>
      <c r="G38">
        <v>1</v>
      </c>
      <c r="H38">
        <v>1</v>
      </c>
      <c r="I38">
        <v>2</v>
      </c>
      <c r="J38">
        <v>0</v>
      </c>
      <c r="K38">
        <v>2</v>
      </c>
      <c r="L38">
        <v>1</v>
      </c>
      <c r="M38">
        <v>0</v>
      </c>
      <c r="N38">
        <v>0</v>
      </c>
    </row>
    <row r="39" spans="1:14" x14ac:dyDescent="0.35">
      <c r="A39" t="s">
        <v>55</v>
      </c>
      <c r="B39" t="s">
        <v>56</v>
      </c>
      <c r="C39">
        <v>3</v>
      </c>
      <c r="D39">
        <v>3</v>
      </c>
      <c r="E39">
        <v>0</v>
      </c>
      <c r="F39">
        <v>1</v>
      </c>
      <c r="G39">
        <v>41</v>
      </c>
      <c r="H39">
        <v>35</v>
      </c>
      <c r="I39">
        <v>186</v>
      </c>
      <c r="J39">
        <v>64</v>
      </c>
      <c r="K39">
        <v>7.14</v>
      </c>
      <c r="L39">
        <v>16</v>
      </c>
      <c r="M39">
        <v>0</v>
      </c>
      <c r="N39">
        <v>0</v>
      </c>
    </row>
    <row r="40" spans="1:14" x14ac:dyDescent="0.35">
      <c r="A40" t="s">
        <v>57</v>
      </c>
      <c r="B40" t="s">
        <v>56</v>
      </c>
      <c r="C40">
        <v>2</v>
      </c>
      <c r="D40">
        <v>2</v>
      </c>
      <c r="E40">
        <v>0</v>
      </c>
      <c r="F40">
        <v>1</v>
      </c>
      <c r="G40">
        <v>8</v>
      </c>
      <c r="H40">
        <v>6</v>
      </c>
      <c r="I40">
        <v>33</v>
      </c>
      <c r="J40">
        <v>9</v>
      </c>
      <c r="K40">
        <v>7</v>
      </c>
      <c r="L40">
        <v>4</v>
      </c>
      <c r="M40">
        <v>0</v>
      </c>
      <c r="N40">
        <v>0</v>
      </c>
    </row>
    <row r="41" spans="1:14" x14ac:dyDescent="0.35">
      <c r="A41" t="s">
        <v>58</v>
      </c>
      <c r="B41" t="s">
        <v>56</v>
      </c>
      <c r="C41">
        <v>4</v>
      </c>
      <c r="D41">
        <v>3</v>
      </c>
      <c r="E41">
        <v>0</v>
      </c>
      <c r="F41">
        <v>1</v>
      </c>
      <c r="G41">
        <v>18</v>
      </c>
      <c r="H41">
        <v>35</v>
      </c>
      <c r="I41">
        <v>186</v>
      </c>
      <c r="J41">
        <v>64</v>
      </c>
      <c r="K41">
        <v>7.14</v>
      </c>
      <c r="L41">
        <v>16</v>
      </c>
      <c r="M41">
        <v>0</v>
      </c>
      <c r="N41">
        <v>0</v>
      </c>
    </row>
    <row r="42" spans="1:14" x14ac:dyDescent="0.35">
      <c r="A42" t="s">
        <v>59</v>
      </c>
      <c r="B42" t="s">
        <v>56</v>
      </c>
      <c r="C42">
        <v>14</v>
      </c>
      <c r="D42">
        <v>13</v>
      </c>
      <c r="E42">
        <v>8</v>
      </c>
      <c r="F42">
        <v>0.439</v>
      </c>
      <c r="G42">
        <v>78</v>
      </c>
      <c r="H42">
        <v>148</v>
      </c>
      <c r="I42">
        <v>692</v>
      </c>
      <c r="J42">
        <v>365</v>
      </c>
      <c r="K42">
        <v>7.14</v>
      </c>
      <c r="L42">
        <v>55</v>
      </c>
      <c r="M42">
        <v>0</v>
      </c>
      <c r="N42">
        <v>0</v>
      </c>
    </row>
    <row r="43" spans="1:14" x14ac:dyDescent="0.35">
      <c r="A43" t="s">
        <v>60</v>
      </c>
      <c r="B43" t="s">
        <v>56</v>
      </c>
      <c r="C43">
        <v>24</v>
      </c>
      <c r="D43">
        <v>22</v>
      </c>
      <c r="E43">
        <v>110</v>
      </c>
      <c r="F43">
        <v>0.21099999999999999</v>
      </c>
      <c r="G43">
        <v>68</v>
      </c>
      <c r="H43">
        <v>263</v>
      </c>
      <c r="I43">
        <v>1145</v>
      </c>
      <c r="J43">
        <v>745</v>
      </c>
      <c r="K43">
        <v>7.19</v>
      </c>
      <c r="L43">
        <v>79</v>
      </c>
      <c r="M43">
        <v>0</v>
      </c>
      <c r="N43">
        <v>0</v>
      </c>
    </row>
    <row r="44" spans="1:14" x14ac:dyDescent="0.35">
      <c r="A44" t="s">
        <v>61</v>
      </c>
      <c r="B44" t="s">
        <v>62</v>
      </c>
      <c r="C44">
        <v>6</v>
      </c>
      <c r="D44">
        <v>6</v>
      </c>
      <c r="E44">
        <v>1</v>
      </c>
      <c r="F44">
        <v>0.33300000000000002</v>
      </c>
      <c r="G44">
        <v>54</v>
      </c>
      <c r="H44">
        <v>118</v>
      </c>
      <c r="I44">
        <v>606</v>
      </c>
      <c r="J44">
        <v>356</v>
      </c>
      <c r="K44">
        <v>8.15</v>
      </c>
      <c r="L44">
        <v>39</v>
      </c>
      <c r="M44">
        <v>0</v>
      </c>
      <c r="N44">
        <v>0</v>
      </c>
    </row>
    <row r="45" spans="1:14" x14ac:dyDescent="0.35">
      <c r="A45" t="s">
        <v>63</v>
      </c>
      <c r="B45" t="s">
        <v>62</v>
      </c>
      <c r="C45">
        <v>21</v>
      </c>
      <c r="D45">
        <v>19</v>
      </c>
      <c r="E45">
        <v>70</v>
      </c>
      <c r="F45">
        <v>0.24299999999999999</v>
      </c>
      <c r="G45">
        <v>74</v>
      </c>
      <c r="H45">
        <v>118</v>
      </c>
      <c r="I45">
        <v>606</v>
      </c>
      <c r="J45">
        <v>356</v>
      </c>
      <c r="K45">
        <v>8.15</v>
      </c>
      <c r="L45">
        <v>39</v>
      </c>
      <c r="M45">
        <v>0</v>
      </c>
      <c r="N45">
        <v>0</v>
      </c>
    </row>
    <row r="46" spans="1:14" x14ac:dyDescent="0.35">
      <c r="A46" t="s">
        <v>64</v>
      </c>
      <c r="B46" t="s">
        <v>65</v>
      </c>
      <c r="C46">
        <v>11</v>
      </c>
      <c r="D46">
        <v>10</v>
      </c>
      <c r="E46">
        <v>0</v>
      </c>
      <c r="F46">
        <v>0.622</v>
      </c>
      <c r="G46">
        <v>18</v>
      </c>
      <c r="H46">
        <v>27</v>
      </c>
      <c r="I46">
        <v>423</v>
      </c>
      <c r="J46">
        <v>353</v>
      </c>
      <c r="K46">
        <v>28.74</v>
      </c>
      <c r="L46">
        <v>14</v>
      </c>
      <c r="M46">
        <v>0</v>
      </c>
      <c r="N46">
        <v>0</v>
      </c>
    </row>
    <row r="47" spans="1:14" x14ac:dyDescent="0.35">
      <c r="A47" t="s">
        <v>66</v>
      </c>
      <c r="B47" t="s">
        <v>65</v>
      </c>
      <c r="C47">
        <v>5</v>
      </c>
      <c r="D47">
        <v>4</v>
      </c>
      <c r="E47">
        <v>2</v>
      </c>
      <c r="F47">
        <v>0.33300000000000002</v>
      </c>
      <c r="G47">
        <v>6</v>
      </c>
      <c r="H47">
        <v>3</v>
      </c>
      <c r="I47">
        <v>20</v>
      </c>
      <c r="J47">
        <v>3</v>
      </c>
      <c r="K47">
        <v>7.67</v>
      </c>
      <c r="L47">
        <v>2</v>
      </c>
      <c r="M47">
        <v>0</v>
      </c>
      <c r="N47">
        <v>0</v>
      </c>
    </row>
    <row r="48" spans="1:14" x14ac:dyDescent="0.35">
      <c r="A48" t="s">
        <v>67</v>
      </c>
      <c r="B48" t="s">
        <v>68</v>
      </c>
      <c r="C48">
        <v>1</v>
      </c>
      <c r="D48">
        <v>1</v>
      </c>
      <c r="E48">
        <v>0</v>
      </c>
      <c r="F48">
        <v>1</v>
      </c>
      <c r="G48">
        <v>2</v>
      </c>
      <c r="H48">
        <v>2</v>
      </c>
      <c r="I48">
        <v>6</v>
      </c>
      <c r="J48">
        <v>1</v>
      </c>
      <c r="K48">
        <v>3.5</v>
      </c>
      <c r="L48">
        <v>2</v>
      </c>
      <c r="M48">
        <v>0</v>
      </c>
      <c r="N48">
        <v>0</v>
      </c>
    </row>
    <row r="49" spans="1:14" x14ac:dyDescent="0.35">
      <c r="A49" t="s">
        <v>69</v>
      </c>
      <c r="B49" t="s">
        <v>70</v>
      </c>
      <c r="C49">
        <v>183</v>
      </c>
      <c r="D49">
        <v>182</v>
      </c>
      <c r="E49">
        <v>28</v>
      </c>
      <c r="F49">
        <v>0.32100000000000001</v>
      </c>
      <c r="G49">
        <v>234</v>
      </c>
      <c r="H49">
        <v>329</v>
      </c>
      <c r="I49">
        <v>3922</v>
      </c>
      <c r="J49">
        <v>1727</v>
      </c>
      <c r="K49">
        <v>17.170000000000002</v>
      </c>
      <c r="L49">
        <v>121</v>
      </c>
      <c r="M49">
        <v>0</v>
      </c>
      <c r="N49">
        <v>0</v>
      </c>
    </row>
    <row r="50" spans="1:14" x14ac:dyDescent="0.35">
      <c r="A50" t="s">
        <v>71</v>
      </c>
      <c r="B50" t="s">
        <v>70</v>
      </c>
      <c r="C50">
        <v>17</v>
      </c>
      <c r="D50">
        <v>17</v>
      </c>
      <c r="E50">
        <v>0</v>
      </c>
      <c r="F50">
        <v>1</v>
      </c>
      <c r="G50">
        <v>16</v>
      </c>
      <c r="H50">
        <v>13</v>
      </c>
      <c r="I50">
        <v>314</v>
      </c>
      <c r="J50">
        <v>163</v>
      </c>
      <c r="K50">
        <v>36.69</v>
      </c>
      <c r="L50">
        <v>8</v>
      </c>
      <c r="M50">
        <v>0</v>
      </c>
      <c r="N50">
        <v>0</v>
      </c>
    </row>
    <row r="51" spans="1:14" x14ac:dyDescent="0.35">
      <c r="A51" t="s">
        <v>72</v>
      </c>
      <c r="B51" t="s">
        <v>70</v>
      </c>
      <c r="C51">
        <v>4</v>
      </c>
      <c r="D51">
        <v>3</v>
      </c>
      <c r="E51">
        <v>0</v>
      </c>
      <c r="F51">
        <v>1</v>
      </c>
      <c r="G51">
        <v>9</v>
      </c>
      <c r="H51">
        <v>8</v>
      </c>
      <c r="I51">
        <v>65</v>
      </c>
      <c r="J51">
        <v>31</v>
      </c>
      <c r="K51">
        <v>12</v>
      </c>
      <c r="L51">
        <v>4</v>
      </c>
      <c r="M51">
        <v>0</v>
      </c>
      <c r="N51">
        <v>0</v>
      </c>
    </row>
    <row r="52" spans="1:14" x14ac:dyDescent="0.35">
      <c r="A52" t="s">
        <v>73</v>
      </c>
      <c r="B52" t="s">
        <v>70</v>
      </c>
      <c r="C52">
        <v>3</v>
      </c>
      <c r="D52">
        <v>2</v>
      </c>
      <c r="E52">
        <v>0</v>
      </c>
      <c r="F52">
        <v>1</v>
      </c>
      <c r="G52">
        <v>8</v>
      </c>
      <c r="H52">
        <v>5</v>
      </c>
      <c r="I52">
        <v>27</v>
      </c>
      <c r="J52">
        <v>6</v>
      </c>
      <c r="K52">
        <v>6.6</v>
      </c>
      <c r="L52">
        <v>3</v>
      </c>
      <c r="M52">
        <v>0</v>
      </c>
      <c r="N52">
        <v>0</v>
      </c>
    </row>
    <row r="53" spans="1:14" x14ac:dyDescent="0.35">
      <c r="A53" t="s">
        <v>74</v>
      </c>
      <c r="B53" t="s">
        <v>70</v>
      </c>
      <c r="C53">
        <v>7</v>
      </c>
      <c r="D53">
        <v>7</v>
      </c>
      <c r="E53">
        <v>0</v>
      </c>
      <c r="F53">
        <v>1</v>
      </c>
      <c r="G53">
        <v>16</v>
      </c>
      <c r="H53">
        <v>20</v>
      </c>
      <c r="I53">
        <v>182</v>
      </c>
      <c r="J53">
        <v>113</v>
      </c>
      <c r="K53">
        <v>14.75</v>
      </c>
      <c r="L53">
        <v>12</v>
      </c>
      <c r="M53">
        <v>0</v>
      </c>
      <c r="N53">
        <v>0</v>
      </c>
    </row>
    <row r="54" spans="1:14" x14ac:dyDescent="0.35">
      <c r="A54" t="s">
        <v>75</v>
      </c>
      <c r="B54" t="s">
        <v>70</v>
      </c>
      <c r="C54">
        <v>4</v>
      </c>
      <c r="D54">
        <v>4</v>
      </c>
      <c r="E54">
        <v>0</v>
      </c>
      <c r="F54">
        <v>1</v>
      </c>
      <c r="G54">
        <v>15</v>
      </c>
      <c r="H54">
        <v>2</v>
      </c>
      <c r="I54">
        <v>35</v>
      </c>
      <c r="J54">
        <v>3</v>
      </c>
      <c r="K54">
        <v>19</v>
      </c>
      <c r="L54">
        <v>2</v>
      </c>
      <c r="M54">
        <v>0</v>
      </c>
      <c r="N54">
        <v>0</v>
      </c>
    </row>
    <row r="55" spans="1:14" x14ac:dyDescent="0.35">
      <c r="A55" t="s">
        <v>76</v>
      </c>
      <c r="B55" t="s">
        <v>70</v>
      </c>
      <c r="C55">
        <v>13</v>
      </c>
      <c r="D55">
        <v>13</v>
      </c>
      <c r="E55">
        <v>0</v>
      </c>
      <c r="F55">
        <v>1</v>
      </c>
      <c r="G55">
        <v>41</v>
      </c>
      <c r="H55">
        <v>22</v>
      </c>
      <c r="I55">
        <v>410</v>
      </c>
      <c r="J55">
        <v>106</v>
      </c>
      <c r="K55">
        <v>23.45</v>
      </c>
      <c r="L55">
        <v>12</v>
      </c>
      <c r="M55">
        <v>0</v>
      </c>
      <c r="N55">
        <v>0</v>
      </c>
    </row>
    <row r="56" spans="1:14" x14ac:dyDescent="0.35">
      <c r="A56" t="s">
        <v>77</v>
      </c>
      <c r="B56" t="s">
        <v>70</v>
      </c>
      <c r="C56">
        <v>5</v>
      </c>
      <c r="D56">
        <v>5</v>
      </c>
      <c r="E56">
        <v>0</v>
      </c>
      <c r="F56">
        <v>0.9</v>
      </c>
      <c r="G56">
        <v>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5">
      <c r="A57" t="s">
        <v>78</v>
      </c>
      <c r="B57" t="s">
        <v>70</v>
      </c>
      <c r="C57">
        <v>6</v>
      </c>
      <c r="D57">
        <v>6</v>
      </c>
      <c r="E57">
        <v>0</v>
      </c>
      <c r="F57">
        <v>1</v>
      </c>
      <c r="G57">
        <v>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5">
      <c r="A58" t="s">
        <v>79</v>
      </c>
      <c r="B58" t="s">
        <v>70</v>
      </c>
      <c r="C58">
        <v>1</v>
      </c>
      <c r="D58">
        <v>1</v>
      </c>
      <c r="E58">
        <v>0</v>
      </c>
      <c r="F58">
        <v>1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5">
      <c r="A59" t="s">
        <v>80</v>
      </c>
      <c r="B59" t="s">
        <v>70</v>
      </c>
      <c r="C59">
        <v>1</v>
      </c>
      <c r="D59">
        <v>0</v>
      </c>
      <c r="E59">
        <v>0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5">
      <c r="A60" t="s">
        <v>81</v>
      </c>
      <c r="B60" t="s">
        <v>70</v>
      </c>
      <c r="C60">
        <v>1</v>
      </c>
      <c r="D60">
        <v>0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5">
      <c r="A61" t="s">
        <v>82</v>
      </c>
      <c r="B61" t="s">
        <v>70</v>
      </c>
      <c r="C61">
        <v>1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5">
      <c r="A62" t="s">
        <v>83</v>
      </c>
      <c r="B62" t="s">
        <v>70</v>
      </c>
      <c r="C62">
        <v>3</v>
      </c>
      <c r="D62">
        <v>3</v>
      </c>
      <c r="E62">
        <v>0</v>
      </c>
      <c r="F62">
        <v>1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5">
      <c r="A63" t="s">
        <v>83</v>
      </c>
      <c r="B63" t="s">
        <v>70</v>
      </c>
      <c r="C63">
        <v>4</v>
      </c>
      <c r="D63">
        <v>4</v>
      </c>
      <c r="E63">
        <v>0</v>
      </c>
      <c r="F63">
        <v>1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5">
      <c r="A64" t="s">
        <v>83</v>
      </c>
      <c r="B64" t="s">
        <v>70</v>
      </c>
      <c r="C64">
        <v>3</v>
      </c>
      <c r="D64">
        <v>3</v>
      </c>
      <c r="E64">
        <v>0</v>
      </c>
      <c r="F64">
        <v>1</v>
      </c>
      <c r="G64">
        <v>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5">
      <c r="A65" t="s">
        <v>84</v>
      </c>
      <c r="B65" t="s">
        <v>70</v>
      </c>
      <c r="C65">
        <v>1</v>
      </c>
      <c r="D65">
        <v>1</v>
      </c>
      <c r="E65">
        <v>0</v>
      </c>
      <c r="F65">
        <v>1</v>
      </c>
      <c r="G65">
        <v>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5">
      <c r="A66" t="s">
        <v>71</v>
      </c>
      <c r="B66" t="s">
        <v>85</v>
      </c>
      <c r="C66">
        <v>9</v>
      </c>
      <c r="D66">
        <v>8</v>
      </c>
      <c r="E66">
        <v>0</v>
      </c>
      <c r="F66">
        <v>1</v>
      </c>
      <c r="G66">
        <v>10</v>
      </c>
      <c r="H66">
        <v>3</v>
      </c>
      <c r="I66">
        <v>61</v>
      </c>
      <c r="J66">
        <v>13</v>
      </c>
      <c r="K66">
        <v>24.67</v>
      </c>
      <c r="L66">
        <v>3</v>
      </c>
      <c r="M66">
        <v>0</v>
      </c>
      <c r="N66">
        <v>0</v>
      </c>
    </row>
    <row r="67" spans="1:14" x14ac:dyDescent="0.35">
      <c r="A67" t="s">
        <v>86</v>
      </c>
      <c r="B67" t="s">
        <v>85</v>
      </c>
      <c r="C67">
        <v>5</v>
      </c>
      <c r="D67">
        <v>4</v>
      </c>
      <c r="E67">
        <v>0</v>
      </c>
      <c r="F67">
        <v>1</v>
      </c>
      <c r="G67">
        <v>7</v>
      </c>
      <c r="H67">
        <v>3</v>
      </c>
      <c r="I67">
        <v>34</v>
      </c>
      <c r="J67">
        <v>9</v>
      </c>
      <c r="K67">
        <v>14.33</v>
      </c>
      <c r="L67">
        <v>3</v>
      </c>
      <c r="M67">
        <v>0</v>
      </c>
      <c r="N67">
        <v>0</v>
      </c>
    </row>
    <row r="68" spans="1:14" x14ac:dyDescent="0.35">
      <c r="A68" t="s">
        <v>87</v>
      </c>
      <c r="B68" t="s">
        <v>88</v>
      </c>
      <c r="C68">
        <v>11</v>
      </c>
      <c r="D68">
        <v>11</v>
      </c>
      <c r="E68">
        <v>0</v>
      </c>
      <c r="F68">
        <v>1</v>
      </c>
      <c r="G68">
        <v>29</v>
      </c>
      <c r="H68">
        <v>17</v>
      </c>
      <c r="I68">
        <v>237</v>
      </c>
      <c r="J68">
        <v>82</v>
      </c>
      <c r="K68">
        <v>18.760000000000002</v>
      </c>
      <c r="L68">
        <v>7</v>
      </c>
      <c r="M68">
        <v>0</v>
      </c>
      <c r="N68">
        <v>0</v>
      </c>
    </row>
    <row r="69" spans="1:14" x14ac:dyDescent="0.35">
      <c r="A69" t="s">
        <v>89</v>
      </c>
      <c r="B69" t="s">
        <v>90</v>
      </c>
      <c r="C69">
        <v>12</v>
      </c>
      <c r="D69">
        <v>12</v>
      </c>
      <c r="E69">
        <v>0</v>
      </c>
      <c r="F69">
        <v>1</v>
      </c>
      <c r="G69">
        <v>35</v>
      </c>
      <c r="H69">
        <v>12</v>
      </c>
      <c r="I69">
        <v>144</v>
      </c>
      <c r="J69">
        <v>39</v>
      </c>
      <c r="K69">
        <v>15.25</v>
      </c>
      <c r="L69">
        <v>8</v>
      </c>
      <c r="M69">
        <v>0</v>
      </c>
      <c r="N69">
        <v>0</v>
      </c>
    </row>
    <row r="70" spans="1:14" x14ac:dyDescent="0.35">
      <c r="A70" t="s">
        <v>91</v>
      </c>
      <c r="B70" t="s">
        <v>90</v>
      </c>
      <c r="C70">
        <v>2</v>
      </c>
      <c r="D70">
        <v>2</v>
      </c>
      <c r="E70">
        <v>0</v>
      </c>
      <c r="F70">
        <v>1</v>
      </c>
      <c r="G70">
        <v>8</v>
      </c>
      <c r="H70">
        <v>1</v>
      </c>
      <c r="I70">
        <v>18</v>
      </c>
      <c r="J70">
        <v>0</v>
      </c>
      <c r="K70">
        <v>18</v>
      </c>
      <c r="L70">
        <v>1</v>
      </c>
      <c r="M70">
        <v>0</v>
      </c>
      <c r="N70">
        <v>0</v>
      </c>
    </row>
    <row r="71" spans="1:14" x14ac:dyDescent="0.35">
      <c r="A71" t="s">
        <v>92</v>
      </c>
      <c r="B71" t="s">
        <v>90</v>
      </c>
      <c r="C71">
        <v>2</v>
      </c>
      <c r="D71">
        <v>2</v>
      </c>
      <c r="E71">
        <v>0</v>
      </c>
      <c r="F71">
        <v>1</v>
      </c>
      <c r="G71">
        <v>5</v>
      </c>
      <c r="H71">
        <v>2</v>
      </c>
      <c r="I71">
        <v>26</v>
      </c>
      <c r="J71">
        <v>8</v>
      </c>
      <c r="K71">
        <v>17</v>
      </c>
      <c r="L71">
        <v>2</v>
      </c>
      <c r="M71">
        <v>0</v>
      </c>
      <c r="N71">
        <v>0</v>
      </c>
    </row>
    <row r="72" spans="1:14" x14ac:dyDescent="0.35">
      <c r="A72" t="s">
        <v>93</v>
      </c>
      <c r="B72" t="s">
        <v>90</v>
      </c>
      <c r="C72">
        <v>2</v>
      </c>
      <c r="D72">
        <v>2</v>
      </c>
      <c r="E72">
        <v>0</v>
      </c>
      <c r="F72">
        <v>1</v>
      </c>
      <c r="G72">
        <v>4</v>
      </c>
      <c r="H72">
        <v>3</v>
      </c>
      <c r="I72">
        <v>26</v>
      </c>
      <c r="J72">
        <v>8</v>
      </c>
      <c r="K72">
        <v>11.33</v>
      </c>
      <c r="L72">
        <v>2</v>
      </c>
      <c r="M72">
        <v>0</v>
      </c>
      <c r="N72">
        <v>0</v>
      </c>
    </row>
    <row r="73" spans="1:14" x14ac:dyDescent="0.35">
      <c r="A73" t="s">
        <v>94</v>
      </c>
      <c r="B73" t="s">
        <v>90</v>
      </c>
      <c r="C73">
        <v>6</v>
      </c>
      <c r="D73">
        <v>5</v>
      </c>
      <c r="E73">
        <v>0</v>
      </c>
      <c r="F73">
        <v>1</v>
      </c>
      <c r="G73">
        <v>6</v>
      </c>
      <c r="H73">
        <v>6</v>
      </c>
      <c r="I73">
        <v>107</v>
      </c>
      <c r="J73">
        <v>42</v>
      </c>
      <c r="K73">
        <v>24.83</v>
      </c>
      <c r="L73">
        <v>5</v>
      </c>
      <c r="M73">
        <v>0</v>
      </c>
      <c r="N73">
        <v>0</v>
      </c>
    </row>
    <row r="74" spans="1:14" x14ac:dyDescent="0.35">
      <c r="A74" t="s">
        <v>95</v>
      </c>
      <c r="B74" t="s">
        <v>90</v>
      </c>
      <c r="C74">
        <v>2</v>
      </c>
      <c r="D74">
        <v>2</v>
      </c>
      <c r="E74">
        <v>0</v>
      </c>
      <c r="F74">
        <v>1</v>
      </c>
      <c r="G74">
        <v>3</v>
      </c>
      <c r="H74">
        <v>2</v>
      </c>
      <c r="I74">
        <v>12</v>
      </c>
      <c r="J74">
        <v>3</v>
      </c>
      <c r="K74">
        <v>7.5</v>
      </c>
      <c r="L74">
        <v>2</v>
      </c>
      <c r="M74">
        <v>0</v>
      </c>
      <c r="N74">
        <v>0</v>
      </c>
    </row>
    <row r="75" spans="1:14" x14ac:dyDescent="0.35">
      <c r="A75" t="s">
        <v>96</v>
      </c>
      <c r="B75" t="s">
        <v>90</v>
      </c>
      <c r="C75">
        <v>2</v>
      </c>
      <c r="D75">
        <v>2</v>
      </c>
      <c r="E75">
        <v>0</v>
      </c>
      <c r="F75">
        <v>1</v>
      </c>
      <c r="G75">
        <v>3</v>
      </c>
      <c r="H75">
        <v>3</v>
      </c>
      <c r="I75">
        <v>29</v>
      </c>
      <c r="J75">
        <v>11</v>
      </c>
      <c r="K75">
        <v>13.33</v>
      </c>
      <c r="L75">
        <v>3</v>
      </c>
      <c r="M75">
        <v>0</v>
      </c>
      <c r="N75">
        <v>0</v>
      </c>
    </row>
    <row r="76" spans="1:14" x14ac:dyDescent="0.35">
      <c r="A76" t="s">
        <v>97</v>
      </c>
      <c r="B76" t="s">
        <v>90</v>
      </c>
      <c r="C76">
        <v>2</v>
      </c>
      <c r="D76">
        <v>2</v>
      </c>
      <c r="E76">
        <v>0</v>
      </c>
      <c r="F76">
        <v>1</v>
      </c>
      <c r="G76">
        <v>1</v>
      </c>
      <c r="H76">
        <v>2</v>
      </c>
      <c r="I76">
        <v>11</v>
      </c>
      <c r="J76">
        <v>3</v>
      </c>
      <c r="K76">
        <v>7</v>
      </c>
      <c r="L76">
        <v>2</v>
      </c>
      <c r="M76">
        <v>0</v>
      </c>
      <c r="N76">
        <v>0</v>
      </c>
    </row>
    <row r="77" spans="1:14" x14ac:dyDescent="0.35">
      <c r="A77" t="s">
        <v>98</v>
      </c>
      <c r="B77" t="s">
        <v>90</v>
      </c>
      <c r="C77">
        <v>2</v>
      </c>
      <c r="D77">
        <v>2</v>
      </c>
      <c r="E77">
        <v>0</v>
      </c>
      <c r="F77">
        <v>1</v>
      </c>
      <c r="G77">
        <v>10</v>
      </c>
      <c r="H77">
        <v>3</v>
      </c>
      <c r="I77">
        <v>31</v>
      </c>
      <c r="J77">
        <v>9</v>
      </c>
      <c r="K77">
        <v>13.33</v>
      </c>
      <c r="L77">
        <v>3</v>
      </c>
      <c r="M77">
        <v>0</v>
      </c>
      <c r="N77">
        <v>0</v>
      </c>
    </row>
    <row r="78" spans="1:14" x14ac:dyDescent="0.35">
      <c r="A78" t="s">
        <v>99</v>
      </c>
      <c r="B78" t="s">
        <v>90</v>
      </c>
      <c r="C78">
        <v>3</v>
      </c>
      <c r="D78">
        <v>3</v>
      </c>
      <c r="E78">
        <v>0</v>
      </c>
      <c r="F78">
        <v>1</v>
      </c>
      <c r="G78">
        <v>14</v>
      </c>
      <c r="H78">
        <v>3</v>
      </c>
      <c r="I78">
        <v>39</v>
      </c>
      <c r="J78">
        <v>8</v>
      </c>
      <c r="K78">
        <v>15.67</v>
      </c>
      <c r="L78">
        <v>3</v>
      </c>
      <c r="M78">
        <v>0</v>
      </c>
      <c r="N78">
        <v>0</v>
      </c>
    </row>
    <row r="79" spans="1:14" x14ac:dyDescent="0.35">
      <c r="A79" t="s">
        <v>100</v>
      </c>
      <c r="B79" t="s">
        <v>90</v>
      </c>
      <c r="C79">
        <v>3</v>
      </c>
      <c r="D79">
        <v>3</v>
      </c>
      <c r="E79">
        <v>0</v>
      </c>
      <c r="F79">
        <v>1</v>
      </c>
      <c r="G79">
        <v>5</v>
      </c>
      <c r="H79">
        <v>3</v>
      </c>
      <c r="I79">
        <v>42</v>
      </c>
      <c r="J79">
        <v>10</v>
      </c>
      <c r="K79">
        <v>17.329999999999998</v>
      </c>
      <c r="L79">
        <v>3</v>
      </c>
      <c r="M79">
        <v>0</v>
      </c>
      <c r="N79">
        <v>0</v>
      </c>
    </row>
    <row r="80" spans="1:14" x14ac:dyDescent="0.35">
      <c r="A80" t="s">
        <v>101</v>
      </c>
      <c r="B80" t="s">
        <v>90</v>
      </c>
      <c r="C80">
        <v>3</v>
      </c>
      <c r="D80">
        <v>3</v>
      </c>
      <c r="E80">
        <v>0</v>
      </c>
      <c r="F80">
        <v>1</v>
      </c>
      <c r="G80">
        <v>5</v>
      </c>
      <c r="H80">
        <v>10</v>
      </c>
      <c r="I80">
        <v>52</v>
      </c>
      <c r="J80">
        <v>17</v>
      </c>
      <c r="K80">
        <v>6.9</v>
      </c>
      <c r="L80">
        <v>5</v>
      </c>
      <c r="M80">
        <v>0</v>
      </c>
      <c r="N80">
        <v>0</v>
      </c>
    </row>
    <row r="81" spans="1:14" x14ac:dyDescent="0.35">
      <c r="A81" t="s">
        <v>102</v>
      </c>
      <c r="B81" t="s">
        <v>90</v>
      </c>
      <c r="C81">
        <v>1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5">
      <c r="A82" t="s">
        <v>102</v>
      </c>
      <c r="B82" t="s">
        <v>90</v>
      </c>
      <c r="C82">
        <v>1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5">
      <c r="A83" t="s">
        <v>102</v>
      </c>
      <c r="B83" t="s">
        <v>90</v>
      </c>
      <c r="C83">
        <v>1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5">
      <c r="A84" t="s">
        <v>103</v>
      </c>
      <c r="B84" t="s">
        <v>90</v>
      </c>
      <c r="C84">
        <v>2</v>
      </c>
      <c r="D84">
        <v>2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5">
      <c r="A85" t="s">
        <v>104</v>
      </c>
      <c r="B85" t="s">
        <v>90</v>
      </c>
      <c r="C85">
        <v>2</v>
      </c>
      <c r="D85">
        <v>2</v>
      </c>
      <c r="E85">
        <v>0</v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 t="s">
        <v>105</v>
      </c>
      <c r="B86" t="s">
        <v>90</v>
      </c>
      <c r="C86">
        <v>1</v>
      </c>
      <c r="D86">
        <v>1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5">
      <c r="A87" t="s">
        <v>106</v>
      </c>
      <c r="B87" t="s">
        <v>107</v>
      </c>
      <c r="C87">
        <v>12</v>
      </c>
      <c r="D87">
        <v>10</v>
      </c>
      <c r="E87">
        <v>0</v>
      </c>
      <c r="F87">
        <v>0.53600000000000003</v>
      </c>
      <c r="G87">
        <v>27</v>
      </c>
      <c r="H87">
        <v>11</v>
      </c>
      <c r="I87">
        <v>157</v>
      </c>
      <c r="J87">
        <v>44</v>
      </c>
      <c r="K87">
        <v>18.27</v>
      </c>
      <c r="L87">
        <v>8</v>
      </c>
      <c r="M87">
        <v>0</v>
      </c>
      <c r="N87">
        <v>0</v>
      </c>
    </row>
    <row r="88" spans="1:14" x14ac:dyDescent="0.35">
      <c r="A88" t="s">
        <v>108</v>
      </c>
      <c r="B88" t="s">
        <v>107</v>
      </c>
      <c r="C88">
        <v>2</v>
      </c>
      <c r="D88">
        <v>2</v>
      </c>
      <c r="E88">
        <v>0</v>
      </c>
      <c r="F88">
        <v>1</v>
      </c>
      <c r="G88">
        <v>15</v>
      </c>
      <c r="H88">
        <v>1</v>
      </c>
      <c r="I88">
        <v>39</v>
      </c>
      <c r="J88">
        <v>0</v>
      </c>
      <c r="K88">
        <v>39</v>
      </c>
      <c r="L88">
        <v>1</v>
      </c>
      <c r="M88">
        <v>0</v>
      </c>
      <c r="N88"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CA11-B436-4D5F-9288-73A0F426DA9D}">
  <dimension ref="A1:C87"/>
  <sheetViews>
    <sheetView tabSelected="1" workbookViewId="0">
      <selection activeCell="O13" sqref="O13"/>
    </sheetView>
  </sheetViews>
  <sheetFormatPr defaultRowHeight="14.5" x14ac:dyDescent="0.35"/>
  <sheetData>
    <row r="1" spans="1:3" x14ac:dyDescent="0.35">
      <c r="A1" t="s">
        <v>5</v>
      </c>
    </row>
    <row r="2" spans="1:3" x14ac:dyDescent="0.35">
      <c r="A2">
        <v>4.4999999999999998E-2</v>
      </c>
      <c r="B2">
        <f>ROW()-1</f>
        <v>1</v>
      </c>
      <c r="C2">
        <f>B2/COUNT($A:$A)</f>
        <v>1.1627906976744186E-2</v>
      </c>
    </row>
    <row r="3" spans="1:3" x14ac:dyDescent="0.35">
      <c r="A3">
        <v>0.21099999999999999</v>
      </c>
      <c r="B3">
        <f t="shared" ref="B3:B66" si="0">ROW()-1</f>
        <v>2</v>
      </c>
      <c r="C3">
        <f t="shared" ref="C3:C66" si="1">B3/COUNT($A:$A)</f>
        <v>2.3255813953488372E-2</v>
      </c>
    </row>
    <row r="4" spans="1:3" x14ac:dyDescent="0.35">
      <c r="A4">
        <v>0.24299999999999999</v>
      </c>
      <c r="B4">
        <f t="shared" si="0"/>
        <v>3</v>
      </c>
      <c r="C4">
        <f t="shared" si="1"/>
        <v>3.4883720930232558E-2</v>
      </c>
    </row>
    <row r="5" spans="1:3" x14ac:dyDescent="0.35">
      <c r="A5">
        <v>0.28799999999999998</v>
      </c>
      <c r="B5">
        <f t="shared" si="0"/>
        <v>4</v>
      </c>
      <c r="C5">
        <f t="shared" si="1"/>
        <v>4.6511627906976744E-2</v>
      </c>
    </row>
    <row r="6" spans="1:3" x14ac:dyDescent="0.35">
      <c r="A6">
        <v>0.32100000000000001</v>
      </c>
      <c r="B6">
        <f t="shared" si="0"/>
        <v>5</v>
      </c>
      <c r="C6">
        <f t="shared" si="1"/>
        <v>5.8139534883720929E-2</v>
      </c>
    </row>
    <row r="7" spans="1:3" x14ac:dyDescent="0.35">
      <c r="A7">
        <v>0.33300000000000002</v>
      </c>
      <c r="B7">
        <f t="shared" si="0"/>
        <v>6</v>
      </c>
      <c r="C7">
        <f t="shared" si="1"/>
        <v>6.9767441860465115E-2</v>
      </c>
    </row>
    <row r="8" spans="1:3" x14ac:dyDescent="0.35">
      <c r="A8">
        <v>0.33300000000000002</v>
      </c>
      <c r="B8">
        <f t="shared" si="0"/>
        <v>7</v>
      </c>
      <c r="C8">
        <f t="shared" si="1"/>
        <v>8.1395348837209308E-2</v>
      </c>
    </row>
    <row r="9" spans="1:3" x14ac:dyDescent="0.35">
      <c r="A9">
        <v>0.439</v>
      </c>
      <c r="B9">
        <f t="shared" si="0"/>
        <v>8</v>
      </c>
      <c r="C9">
        <f t="shared" si="1"/>
        <v>9.3023255813953487E-2</v>
      </c>
    </row>
    <row r="10" spans="1:3" x14ac:dyDescent="0.35">
      <c r="A10">
        <v>0.44400000000000001</v>
      </c>
      <c r="B10">
        <f t="shared" si="0"/>
        <v>9</v>
      </c>
      <c r="C10">
        <f t="shared" si="1"/>
        <v>0.10465116279069768</v>
      </c>
    </row>
    <row r="11" spans="1:3" x14ac:dyDescent="0.35">
      <c r="A11">
        <v>0.53600000000000003</v>
      </c>
      <c r="B11">
        <f t="shared" si="0"/>
        <v>10</v>
      </c>
      <c r="C11">
        <f t="shared" si="1"/>
        <v>0.11627906976744186</v>
      </c>
    </row>
    <row r="12" spans="1:3" x14ac:dyDescent="0.35">
      <c r="A12">
        <v>0.622</v>
      </c>
      <c r="B12">
        <f t="shared" si="0"/>
        <v>11</v>
      </c>
      <c r="C12">
        <f t="shared" si="1"/>
        <v>0.12790697674418605</v>
      </c>
    </row>
    <row r="13" spans="1:3" x14ac:dyDescent="0.35">
      <c r="A13">
        <v>0.81</v>
      </c>
      <c r="B13">
        <f t="shared" si="0"/>
        <v>12</v>
      </c>
      <c r="C13">
        <f t="shared" si="1"/>
        <v>0.13953488372093023</v>
      </c>
    </row>
    <row r="14" spans="1:3" x14ac:dyDescent="0.35">
      <c r="A14">
        <v>0.9</v>
      </c>
      <c r="B14">
        <f t="shared" si="0"/>
        <v>13</v>
      </c>
      <c r="C14">
        <f t="shared" si="1"/>
        <v>0.15116279069767441</v>
      </c>
    </row>
    <row r="15" spans="1:3" x14ac:dyDescent="0.35">
      <c r="A15">
        <v>1</v>
      </c>
      <c r="B15">
        <f t="shared" si="0"/>
        <v>14</v>
      </c>
      <c r="C15">
        <f t="shared" si="1"/>
        <v>0.16279069767441862</v>
      </c>
    </row>
    <row r="16" spans="1:3" x14ac:dyDescent="0.35">
      <c r="A16">
        <v>1</v>
      </c>
      <c r="B16">
        <f t="shared" si="0"/>
        <v>15</v>
      </c>
      <c r="C16">
        <f t="shared" si="1"/>
        <v>0.1744186046511628</v>
      </c>
    </row>
    <row r="17" spans="1:3" x14ac:dyDescent="0.35">
      <c r="A17">
        <v>1</v>
      </c>
      <c r="B17">
        <f t="shared" si="0"/>
        <v>16</v>
      </c>
      <c r="C17">
        <f t="shared" si="1"/>
        <v>0.18604651162790697</v>
      </c>
    </row>
    <row r="18" spans="1:3" x14ac:dyDescent="0.35">
      <c r="A18">
        <v>1</v>
      </c>
      <c r="B18">
        <f t="shared" si="0"/>
        <v>17</v>
      </c>
      <c r="C18">
        <f t="shared" si="1"/>
        <v>0.19767441860465115</v>
      </c>
    </row>
    <row r="19" spans="1:3" x14ac:dyDescent="0.35">
      <c r="A19">
        <v>1</v>
      </c>
      <c r="B19">
        <f t="shared" si="0"/>
        <v>18</v>
      </c>
      <c r="C19">
        <f t="shared" si="1"/>
        <v>0.20930232558139536</v>
      </c>
    </row>
    <row r="20" spans="1:3" x14ac:dyDescent="0.35">
      <c r="A20">
        <v>1</v>
      </c>
      <c r="B20">
        <f t="shared" si="0"/>
        <v>19</v>
      </c>
      <c r="C20">
        <f t="shared" si="1"/>
        <v>0.22093023255813954</v>
      </c>
    </row>
    <row r="21" spans="1:3" x14ac:dyDescent="0.35">
      <c r="A21">
        <v>1</v>
      </c>
      <c r="B21">
        <f t="shared" si="0"/>
        <v>20</v>
      </c>
      <c r="C21">
        <f t="shared" si="1"/>
        <v>0.23255813953488372</v>
      </c>
    </row>
    <row r="22" spans="1:3" x14ac:dyDescent="0.35">
      <c r="A22">
        <v>1</v>
      </c>
      <c r="B22">
        <f t="shared" si="0"/>
        <v>21</v>
      </c>
      <c r="C22">
        <f t="shared" si="1"/>
        <v>0.2441860465116279</v>
      </c>
    </row>
    <row r="23" spans="1:3" x14ac:dyDescent="0.35">
      <c r="A23">
        <v>1</v>
      </c>
      <c r="B23">
        <f t="shared" si="0"/>
        <v>22</v>
      </c>
      <c r="C23">
        <f t="shared" si="1"/>
        <v>0.2558139534883721</v>
      </c>
    </row>
    <row r="24" spans="1:3" x14ac:dyDescent="0.35">
      <c r="A24">
        <v>1</v>
      </c>
      <c r="B24">
        <f t="shared" si="0"/>
        <v>23</v>
      </c>
      <c r="C24">
        <f t="shared" si="1"/>
        <v>0.26744186046511625</v>
      </c>
    </row>
    <row r="25" spans="1:3" x14ac:dyDescent="0.35">
      <c r="A25">
        <v>1</v>
      </c>
      <c r="B25">
        <f t="shared" si="0"/>
        <v>24</v>
      </c>
      <c r="C25">
        <f t="shared" si="1"/>
        <v>0.27906976744186046</v>
      </c>
    </row>
    <row r="26" spans="1:3" x14ac:dyDescent="0.35">
      <c r="A26">
        <v>1</v>
      </c>
      <c r="B26">
        <f t="shared" si="0"/>
        <v>25</v>
      </c>
      <c r="C26">
        <f t="shared" si="1"/>
        <v>0.29069767441860467</v>
      </c>
    </row>
    <row r="27" spans="1:3" x14ac:dyDescent="0.35">
      <c r="A27">
        <v>1</v>
      </c>
      <c r="B27">
        <f t="shared" si="0"/>
        <v>26</v>
      </c>
      <c r="C27">
        <f t="shared" si="1"/>
        <v>0.30232558139534882</v>
      </c>
    </row>
    <row r="28" spans="1:3" x14ac:dyDescent="0.35">
      <c r="A28">
        <v>1</v>
      </c>
      <c r="B28">
        <f t="shared" si="0"/>
        <v>27</v>
      </c>
      <c r="C28">
        <f t="shared" si="1"/>
        <v>0.31395348837209303</v>
      </c>
    </row>
    <row r="29" spans="1:3" x14ac:dyDescent="0.35">
      <c r="A29">
        <v>1</v>
      </c>
      <c r="B29">
        <f t="shared" si="0"/>
        <v>28</v>
      </c>
      <c r="C29">
        <f t="shared" si="1"/>
        <v>0.32558139534883723</v>
      </c>
    </row>
    <row r="30" spans="1:3" x14ac:dyDescent="0.35">
      <c r="A30">
        <v>1</v>
      </c>
      <c r="B30">
        <f t="shared" si="0"/>
        <v>29</v>
      </c>
      <c r="C30">
        <f t="shared" si="1"/>
        <v>0.33720930232558138</v>
      </c>
    </row>
    <row r="31" spans="1:3" x14ac:dyDescent="0.35">
      <c r="A31">
        <v>1</v>
      </c>
      <c r="B31">
        <f t="shared" si="0"/>
        <v>30</v>
      </c>
      <c r="C31">
        <f t="shared" si="1"/>
        <v>0.34883720930232559</v>
      </c>
    </row>
    <row r="32" spans="1:3" x14ac:dyDescent="0.35">
      <c r="A32">
        <v>1</v>
      </c>
      <c r="B32">
        <f t="shared" si="0"/>
        <v>31</v>
      </c>
      <c r="C32">
        <f t="shared" si="1"/>
        <v>0.36046511627906974</v>
      </c>
    </row>
    <row r="33" spans="1:3" x14ac:dyDescent="0.35">
      <c r="A33">
        <v>1</v>
      </c>
      <c r="B33">
        <f t="shared" si="0"/>
        <v>32</v>
      </c>
      <c r="C33">
        <f t="shared" si="1"/>
        <v>0.37209302325581395</v>
      </c>
    </row>
    <row r="34" spans="1:3" x14ac:dyDescent="0.35">
      <c r="A34">
        <v>1</v>
      </c>
      <c r="B34">
        <f t="shared" si="0"/>
        <v>33</v>
      </c>
      <c r="C34">
        <f t="shared" si="1"/>
        <v>0.38372093023255816</v>
      </c>
    </row>
    <row r="35" spans="1:3" x14ac:dyDescent="0.35">
      <c r="A35">
        <v>1</v>
      </c>
      <c r="B35">
        <f t="shared" si="0"/>
        <v>34</v>
      </c>
      <c r="C35">
        <f t="shared" si="1"/>
        <v>0.39534883720930231</v>
      </c>
    </row>
    <row r="36" spans="1:3" x14ac:dyDescent="0.35">
      <c r="A36">
        <v>1</v>
      </c>
      <c r="B36">
        <f t="shared" si="0"/>
        <v>35</v>
      </c>
      <c r="C36">
        <f t="shared" si="1"/>
        <v>0.40697674418604651</v>
      </c>
    </row>
    <row r="37" spans="1:3" x14ac:dyDescent="0.35">
      <c r="A37">
        <v>1</v>
      </c>
      <c r="B37">
        <f t="shared" si="0"/>
        <v>36</v>
      </c>
      <c r="C37">
        <f t="shared" si="1"/>
        <v>0.41860465116279072</v>
      </c>
    </row>
    <row r="38" spans="1:3" x14ac:dyDescent="0.35">
      <c r="A38">
        <v>1</v>
      </c>
      <c r="B38">
        <f t="shared" si="0"/>
        <v>37</v>
      </c>
      <c r="C38">
        <f t="shared" si="1"/>
        <v>0.43023255813953487</v>
      </c>
    </row>
    <row r="39" spans="1:3" x14ac:dyDescent="0.35">
      <c r="A39">
        <v>1</v>
      </c>
      <c r="B39">
        <f t="shared" si="0"/>
        <v>38</v>
      </c>
      <c r="C39">
        <f t="shared" si="1"/>
        <v>0.44186046511627908</v>
      </c>
    </row>
    <row r="40" spans="1:3" x14ac:dyDescent="0.35">
      <c r="A40">
        <v>1</v>
      </c>
      <c r="B40">
        <f t="shared" si="0"/>
        <v>39</v>
      </c>
      <c r="C40">
        <f t="shared" si="1"/>
        <v>0.45348837209302323</v>
      </c>
    </row>
    <row r="41" spans="1:3" x14ac:dyDescent="0.35">
      <c r="A41">
        <v>1</v>
      </c>
      <c r="B41">
        <f t="shared" si="0"/>
        <v>40</v>
      </c>
      <c r="C41">
        <f t="shared" si="1"/>
        <v>0.46511627906976744</v>
      </c>
    </row>
    <row r="42" spans="1:3" x14ac:dyDescent="0.35">
      <c r="A42">
        <v>1</v>
      </c>
      <c r="B42">
        <f t="shared" si="0"/>
        <v>41</v>
      </c>
      <c r="C42">
        <f t="shared" si="1"/>
        <v>0.47674418604651164</v>
      </c>
    </row>
    <row r="43" spans="1:3" x14ac:dyDescent="0.35">
      <c r="A43">
        <v>1</v>
      </c>
      <c r="B43">
        <f t="shared" si="0"/>
        <v>42</v>
      </c>
      <c r="C43">
        <f t="shared" si="1"/>
        <v>0.48837209302325579</v>
      </c>
    </row>
    <row r="44" spans="1:3" x14ac:dyDescent="0.35">
      <c r="A44">
        <v>1</v>
      </c>
      <c r="B44">
        <f t="shared" si="0"/>
        <v>43</v>
      </c>
      <c r="C44">
        <f t="shared" si="1"/>
        <v>0.5</v>
      </c>
    </row>
    <row r="45" spans="1:3" x14ac:dyDescent="0.35">
      <c r="A45">
        <v>1</v>
      </c>
      <c r="B45">
        <f t="shared" si="0"/>
        <v>44</v>
      </c>
      <c r="C45">
        <f t="shared" si="1"/>
        <v>0.51162790697674421</v>
      </c>
    </row>
    <row r="46" spans="1:3" x14ac:dyDescent="0.35">
      <c r="A46">
        <v>1</v>
      </c>
      <c r="B46">
        <f t="shared" si="0"/>
        <v>45</v>
      </c>
      <c r="C46">
        <f t="shared" si="1"/>
        <v>0.52325581395348841</v>
      </c>
    </row>
    <row r="47" spans="1:3" x14ac:dyDescent="0.35">
      <c r="A47">
        <v>1</v>
      </c>
      <c r="B47">
        <f t="shared" si="0"/>
        <v>46</v>
      </c>
      <c r="C47">
        <f t="shared" si="1"/>
        <v>0.53488372093023251</v>
      </c>
    </row>
    <row r="48" spans="1:3" x14ac:dyDescent="0.35">
      <c r="A48">
        <v>1</v>
      </c>
      <c r="B48">
        <f t="shared" si="0"/>
        <v>47</v>
      </c>
      <c r="C48">
        <f t="shared" si="1"/>
        <v>0.54651162790697672</v>
      </c>
    </row>
    <row r="49" spans="1:3" x14ac:dyDescent="0.35">
      <c r="A49">
        <v>1</v>
      </c>
      <c r="B49">
        <f t="shared" si="0"/>
        <v>48</v>
      </c>
      <c r="C49">
        <f t="shared" si="1"/>
        <v>0.55813953488372092</v>
      </c>
    </row>
    <row r="50" spans="1:3" x14ac:dyDescent="0.35">
      <c r="A50">
        <v>1</v>
      </c>
      <c r="B50">
        <f t="shared" si="0"/>
        <v>49</v>
      </c>
      <c r="C50">
        <f t="shared" si="1"/>
        <v>0.56976744186046513</v>
      </c>
    </row>
    <row r="51" spans="1:3" x14ac:dyDescent="0.35">
      <c r="A51">
        <v>1</v>
      </c>
      <c r="B51">
        <f t="shared" si="0"/>
        <v>50</v>
      </c>
      <c r="C51">
        <f t="shared" si="1"/>
        <v>0.58139534883720934</v>
      </c>
    </row>
    <row r="52" spans="1:3" x14ac:dyDescent="0.35">
      <c r="A52">
        <v>1</v>
      </c>
      <c r="B52">
        <f t="shared" si="0"/>
        <v>51</v>
      </c>
      <c r="C52">
        <f t="shared" si="1"/>
        <v>0.59302325581395354</v>
      </c>
    </row>
    <row r="53" spans="1:3" x14ac:dyDescent="0.35">
      <c r="A53">
        <v>1</v>
      </c>
      <c r="B53">
        <f t="shared" si="0"/>
        <v>52</v>
      </c>
      <c r="C53">
        <f t="shared" si="1"/>
        <v>0.60465116279069764</v>
      </c>
    </row>
    <row r="54" spans="1:3" x14ac:dyDescent="0.35">
      <c r="A54">
        <v>1</v>
      </c>
      <c r="B54">
        <f t="shared" si="0"/>
        <v>53</v>
      </c>
      <c r="C54">
        <f t="shared" si="1"/>
        <v>0.61627906976744184</v>
      </c>
    </row>
    <row r="55" spans="1:3" x14ac:dyDescent="0.35">
      <c r="A55">
        <v>1</v>
      </c>
      <c r="B55">
        <f t="shared" si="0"/>
        <v>54</v>
      </c>
      <c r="C55">
        <f t="shared" si="1"/>
        <v>0.62790697674418605</v>
      </c>
    </row>
    <row r="56" spans="1:3" x14ac:dyDescent="0.35">
      <c r="A56">
        <v>1</v>
      </c>
      <c r="B56">
        <f t="shared" si="0"/>
        <v>55</v>
      </c>
      <c r="C56">
        <f t="shared" si="1"/>
        <v>0.63953488372093026</v>
      </c>
    </row>
    <row r="57" spans="1:3" x14ac:dyDescent="0.35">
      <c r="A57">
        <v>1</v>
      </c>
      <c r="B57">
        <f t="shared" si="0"/>
        <v>56</v>
      </c>
      <c r="C57">
        <f t="shared" si="1"/>
        <v>0.65116279069767447</v>
      </c>
    </row>
    <row r="58" spans="1:3" x14ac:dyDescent="0.35">
      <c r="A58">
        <v>1</v>
      </c>
      <c r="B58">
        <f t="shared" si="0"/>
        <v>57</v>
      </c>
      <c r="C58">
        <f t="shared" si="1"/>
        <v>0.66279069767441856</v>
      </c>
    </row>
    <row r="59" spans="1:3" x14ac:dyDescent="0.35">
      <c r="A59">
        <v>1</v>
      </c>
      <c r="B59">
        <f t="shared" si="0"/>
        <v>58</v>
      </c>
      <c r="C59">
        <f t="shared" si="1"/>
        <v>0.67441860465116277</v>
      </c>
    </row>
    <row r="60" spans="1:3" x14ac:dyDescent="0.35">
      <c r="A60">
        <v>1</v>
      </c>
      <c r="B60">
        <f t="shared" si="0"/>
        <v>59</v>
      </c>
      <c r="C60">
        <f t="shared" si="1"/>
        <v>0.68604651162790697</v>
      </c>
    </row>
    <row r="61" spans="1:3" x14ac:dyDescent="0.35">
      <c r="A61">
        <v>1</v>
      </c>
      <c r="B61">
        <f t="shared" si="0"/>
        <v>60</v>
      </c>
      <c r="C61">
        <f t="shared" si="1"/>
        <v>0.69767441860465118</v>
      </c>
    </row>
    <row r="62" spans="1:3" x14ac:dyDescent="0.35">
      <c r="A62">
        <v>1</v>
      </c>
      <c r="B62">
        <f t="shared" si="0"/>
        <v>61</v>
      </c>
      <c r="C62">
        <f t="shared" si="1"/>
        <v>0.70930232558139539</v>
      </c>
    </row>
    <row r="63" spans="1:3" x14ac:dyDescent="0.35">
      <c r="A63">
        <v>1</v>
      </c>
      <c r="B63">
        <f t="shared" si="0"/>
        <v>62</v>
      </c>
      <c r="C63">
        <f t="shared" si="1"/>
        <v>0.72093023255813948</v>
      </c>
    </row>
    <row r="64" spans="1:3" x14ac:dyDescent="0.35">
      <c r="A64">
        <v>1</v>
      </c>
      <c r="B64">
        <f t="shared" si="0"/>
        <v>63</v>
      </c>
      <c r="C64">
        <f t="shared" si="1"/>
        <v>0.73255813953488369</v>
      </c>
    </row>
    <row r="65" spans="1:3" x14ac:dyDescent="0.35">
      <c r="A65">
        <v>1</v>
      </c>
      <c r="B65">
        <f t="shared" si="0"/>
        <v>64</v>
      </c>
      <c r="C65">
        <f t="shared" si="1"/>
        <v>0.7441860465116279</v>
      </c>
    </row>
    <row r="66" spans="1:3" x14ac:dyDescent="0.35">
      <c r="A66">
        <v>1</v>
      </c>
      <c r="B66">
        <f t="shared" si="0"/>
        <v>65</v>
      </c>
      <c r="C66">
        <f t="shared" si="1"/>
        <v>0.7558139534883721</v>
      </c>
    </row>
    <row r="67" spans="1:3" x14ac:dyDescent="0.35">
      <c r="A67">
        <v>1</v>
      </c>
      <c r="B67">
        <f t="shared" ref="B67:B87" si="2">ROW()-1</f>
        <v>66</v>
      </c>
      <c r="C67">
        <f t="shared" ref="C67:C87" si="3">B67/COUNT($A:$A)</f>
        <v>0.76744186046511631</v>
      </c>
    </row>
    <row r="68" spans="1:3" x14ac:dyDescent="0.35">
      <c r="A68">
        <v>1</v>
      </c>
      <c r="B68">
        <f t="shared" si="2"/>
        <v>67</v>
      </c>
      <c r="C68">
        <f t="shared" si="3"/>
        <v>0.77906976744186052</v>
      </c>
    </row>
    <row r="69" spans="1:3" x14ac:dyDescent="0.35">
      <c r="A69">
        <v>1</v>
      </c>
      <c r="B69">
        <f t="shared" si="2"/>
        <v>68</v>
      </c>
      <c r="C69">
        <f t="shared" si="3"/>
        <v>0.79069767441860461</v>
      </c>
    </row>
    <row r="70" spans="1:3" x14ac:dyDescent="0.35">
      <c r="A70">
        <v>1</v>
      </c>
      <c r="B70">
        <f t="shared" si="2"/>
        <v>69</v>
      </c>
      <c r="C70">
        <f t="shared" si="3"/>
        <v>0.80232558139534882</v>
      </c>
    </row>
    <row r="71" spans="1:3" x14ac:dyDescent="0.35">
      <c r="A71">
        <v>1</v>
      </c>
      <c r="B71">
        <f t="shared" si="2"/>
        <v>70</v>
      </c>
      <c r="C71">
        <f t="shared" si="3"/>
        <v>0.81395348837209303</v>
      </c>
    </row>
    <row r="72" spans="1:3" x14ac:dyDescent="0.35">
      <c r="A72">
        <v>1</v>
      </c>
      <c r="B72">
        <f t="shared" si="2"/>
        <v>71</v>
      </c>
      <c r="C72">
        <f t="shared" si="3"/>
        <v>0.82558139534883723</v>
      </c>
    </row>
    <row r="73" spans="1:3" x14ac:dyDescent="0.35">
      <c r="A73">
        <v>1</v>
      </c>
      <c r="B73">
        <f t="shared" si="2"/>
        <v>72</v>
      </c>
      <c r="C73">
        <f t="shared" si="3"/>
        <v>0.83720930232558144</v>
      </c>
    </row>
    <row r="74" spans="1:3" x14ac:dyDescent="0.35">
      <c r="A74">
        <v>1</v>
      </c>
      <c r="B74">
        <f t="shared" si="2"/>
        <v>73</v>
      </c>
      <c r="C74">
        <f t="shared" si="3"/>
        <v>0.84883720930232553</v>
      </c>
    </row>
    <row r="75" spans="1:3" x14ac:dyDescent="0.35">
      <c r="A75">
        <v>1</v>
      </c>
      <c r="B75">
        <f t="shared" si="2"/>
        <v>74</v>
      </c>
      <c r="C75">
        <f t="shared" si="3"/>
        <v>0.86046511627906974</v>
      </c>
    </row>
    <row r="76" spans="1:3" x14ac:dyDescent="0.35">
      <c r="A76">
        <v>1</v>
      </c>
      <c r="B76">
        <f t="shared" si="2"/>
        <v>75</v>
      </c>
      <c r="C76">
        <f t="shared" si="3"/>
        <v>0.87209302325581395</v>
      </c>
    </row>
    <row r="77" spans="1:3" x14ac:dyDescent="0.35">
      <c r="A77">
        <v>1</v>
      </c>
      <c r="B77">
        <f t="shared" si="2"/>
        <v>76</v>
      </c>
      <c r="C77">
        <f t="shared" si="3"/>
        <v>0.88372093023255816</v>
      </c>
    </row>
    <row r="78" spans="1:3" x14ac:dyDescent="0.35">
      <c r="A78">
        <v>1</v>
      </c>
      <c r="B78">
        <f t="shared" si="2"/>
        <v>77</v>
      </c>
      <c r="C78">
        <f t="shared" si="3"/>
        <v>0.89534883720930236</v>
      </c>
    </row>
    <row r="79" spans="1:3" x14ac:dyDescent="0.35">
      <c r="A79">
        <v>1</v>
      </c>
      <c r="B79">
        <f t="shared" si="2"/>
        <v>78</v>
      </c>
      <c r="C79">
        <f t="shared" si="3"/>
        <v>0.90697674418604646</v>
      </c>
    </row>
    <row r="80" spans="1:3" x14ac:dyDescent="0.35">
      <c r="A80">
        <v>1</v>
      </c>
      <c r="B80">
        <f t="shared" si="2"/>
        <v>79</v>
      </c>
      <c r="C80">
        <f t="shared" si="3"/>
        <v>0.91860465116279066</v>
      </c>
    </row>
    <row r="81" spans="1:3" x14ac:dyDescent="0.35">
      <c r="A81">
        <v>1</v>
      </c>
      <c r="B81">
        <f t="shared" si="2"/>
        <v>80</v>
      </c>
      <c r="C81">
        <f t="shared" si="3"/>
        <v>0.93023255813953487</v>
      </c>
    </row>
    <row r="82" spans="1:3" x14ac:dyDescent="0.35">
      <c r="A82">
        <v>1</v>
      </c>
      <c r="B82">
        <f t="shared" si="2"/>
        <v>81</v>
      </c>
      <c r="C82">
        <f t="shared" si="3"/>
        <v>0.94186046511627908</v>
      </c>
    </row>
    <row r="83" spans="1:3" x14ac:dyDescent="0.35">
      <c r="A83">
        <v>1</v>
      </c>
      <c r="B83">
        <f t="shared" si="2"/>
        <v>82</v>
      </c>
      <c r="C83">
        <f t="shared" si="3"/>
        <v>0.95348837209302328</v>
      </c>
    </row>
    <row r="84" spans="1:3" x14ac:dyDescent="0.35">
      <c r="A84">
        <v>1</v>
      </c>
      <c r="B84">
        <f t="shared" si="2"/>
        <v>83</v>
      </c>
      <c r="C84">
        <f t="shared" si="3"/>
        <v>0.96511627906976749</v>
      </c>
    </row>
    <row r="85" spans="1:3" x14ac:dyDescent="0.35">
      <c r="A85">
        <v>1</v>
      </c>
      <c r="B85">
        <f t="shared" si="2"/>
        <v>84</v>
      </c>
      <c r="C85">
        <f t="shared" si="3"/>
        <v>0.97674418604651159</v>
      </c>
    </row>
    <row r="86" spans="1:3" x14ac:dyDescent="0.35">
      <c r="A86">
        <v>1</v>
      </c>
      <c r="B86">
        <f t="shared" si="2"/>
        <v>85</v>
      </c>
      <c r="C86">
        <f t="shared" si="3"/>
        <v>0.98837209302325579</v>
      </c>
    </row>
    <row r="87" spans="1:3" x14ac:dyDescent="0.35">
      <c r="A87">
        <v>1</v>
      </c>
      <c r="B87">
        <f t="shared" si="2"/>
        <v>86</v>
      </c>
      <c r="C87">
        <f t="shared" si="3"/>
        <v>1</v>
      </c>
    </row>
  </sheetData>
  <sortState xmlns:xlrd2="http://schemas.microsoft.com/office/spreadsheetml/2017/richdata2" ref="A2:A88">
    <sortCondition ref="A1:A8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5E85-884A-49CF-B4E2-C7F946C1EBE4}">
  <dimension ref="A1:C87"/>
  <sheetViews>
    <sheetView workbookViewId="0">
      <selection activeCell="M20" sqref="M20"/>
    </sheetView>
  </sheetViews>
  <sheetFormatPr defaultRowHeight="14.5" x14ac:dyDescent="0.35"/>
  <sheetData>
    <row r="1" spans="1:3" x14ac:dyDescent="0.35">
      <c r="A1" t="s">
        <v>10</v>
      </c>
    </row>
    <row r="2" spans="1:3" x14ac:dyDescent="0.35">
      <c r="A2">
        <v>0</v>
      </c>
      <c r="B2">
        <f>ROW()-1</f>
        <v>1</v>
      </c>
      <c r="C2">
        <f>B2/COUNT($A:$A)</f>
        <v>1.1627906976744186E-2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2.3255813953488372E-2</v>
      </c>
    </row>
    <row r="4" spans="1:3" x14ac:dyDescent="0.35">
      <c r="A4">
        <v>0</v>
      </c>
      <c r="B4">
        <f t="shared" si="0"/>
        <v>3</v>
      </c>
      <c r="C4">
        <f t="shared" si="1"/>
        <v>3.4883720930232558E-2</v>
      </c>
    </row>
    <row r="5" spans="1:3" x14ac:dyDescent="0.35">
      <c r="A5">
        <v>0</v>
      </c>
      <c r="B5">
        <f t="shared" si="0"/>
        <v>4</v>
      </c>
      <c r="C5">
        <f t="shared" si="1"/>
        <v>4.6511627906976744E-2</v>
      </c>
    </row>
    <row r="6" spans="1:3" x14ac:dyDescent="0.35">
      <c r="A6">
        <v>0</v>
      </c>
      <c r="B6">
        <f t="shared" si="0"/>
        <v>5</v>
      </c>
      <c r="C6">
        <f t="shared" si="1"/>
        <v>5.8139534883720929E-2</v>
      </c>
    </row>
    <row r="7" spans="1:3" x14ac:dyDescent="0.35">
      <c r="A7">
        <v>0</v>
      </c>
      <c r="B7">
        <f t="shared" si="0"/>
        <v>6</v>
      </c>
      <c r="C7">
        <f t="shared" si="1"/>
        <v>6.9767441860465115E-2</v>
      </c>
    </row>
    <row r="8" spans="1:3" x14ac:dyDescent="0.35">
      <c r="A8">
        <v>0</v>
      </c>
      <c r="B8">
        <f t="shared" si="0"/>
        <v>7</v>
      </c>
      <c r="C8">
        <f t="shared" si="1"/>
        <v>8.1395348837209308E-2</v>
      </c>
    </row>
    <row r="9" spans="1:3" x14ac:dyDescent="0.35">
      <c r="A9">
        <v>0</v>
      </c>
      <c r="B9">
        <f t="shared" si="0"/>
        <v>8</v>
      </c>
      <c r="C9">
        <f t="shared" si="1"/>
        <v>9.3023255813953487E-2</v>
      </c>
    </row>
    <row r="10" spans="1:3" x14ac:dyDescent="0.35">
      <c r="A10">
        <v>0</v>
      </c>
      <c r="B10">
        <f t="shared" si="0"/>
        <v>9</v>
      </c>
      <c r="C10">
        <f t="shared" si="1"/>
        <v>0.10465116279069768</v>
      </c>
    </row>
    <row r="11" spans="1:3" x14ac:dyDescent="0.35">
      <c r="A11">
        <v>0</v>
      </c>
      <c r="B11">
        <f t="shared" si="0"/>
        <v>10</v>
      </c>
      <c r="C11">
        <f t="shared" si="1"/>
        <v>0.11627906976744186</v>
      </c>
    </row>
    <row r="12" spans="1:3" x14ac:dyDescent="0.35">
      <c r="A12">
        <v>0</v>
      </c>
      <c r="B12">
        <f t="shared" si="0"/>
        <v>11</v>
      </c>
      <c r="C12">
        <f t="shared" si="1"/>
        <v>0.12790697674418605</v>
      </c>
    </row>
    <row r="13" spans="1:3" x14ac:dyDescent="0.35">
      <c r="A13">
        <v>0</v>
      </c>
      <c r="B13">
        <f t="shared" si="0"/>
        <v>12</v>
      </c>
      <c r="C13">
        <f t="shared" si="1"/>
        <v>0.13953488372093023</v>
      </c>
    </row>
    <row r="14" spans="1:3" x14ac:dyDescent="0.35">
      <c r="A14">
        <v>0</v>
      </c>
      <c r="B14">
        <f t="shared" si="0"/>
        <v>13</v>
      </c>
      <c r="C14">
        <f t="shared" si="1"/>
        <v>0.15116279069767441</v>
      </c>
    </row>
    <row r="15" spans="1:3" x14ac:dyDescent="0.35">
      <c r="A15">
        <v>0</v>
      </c>
      <c r="B15">
        <f t="shared" si="0"/>
        <v>14</v>
      </c>
      <c r="C15">
        <f t="shared" si="1"/>
        <v>0.16279069767441862</v>
      </c>
    </row>
    <row r="16" spans="1:3" x14ac:dyDescent="0.35">
      <c r="A16">
        <v>0</v>
      </c>
      <c r="B16">
        <f t="shared" si="0"/>
        <v>15</v>
      </c>
      <c r="C16">
        <f t="shared" si="1"/>
        <v>0.1744186046511628</v>
      </c>
    </row>
    <row r="17" spans="1:3" x14ac:dyDescent="0.35">
      <c r="A17">
        <v>0</v>
      </c>
      <c r="B17">
        <f t="shared" si="0"/>
        <v>16</v>
      </c>
      <c r="C17">
        <f t="shared" si="1"/>
        <v>0.18604651162790697</v>
      </c>
    </row>
    <row r="18" spans="1:3" x14ac:dyDescent="0.35">
      <c r="A18">
        <v>1.33</v>
      </c>
      <c r="B18">
        <f t="shared" si="0"/>
        <v>17</v>
      </c>
      <c r="C18">
        <f t="shared" si="1"/>
        <v>0.19767441860465115</v>
      </c>
    </row>
    <row r="19" spans="1:3" x14ac:dyDescent="0.35">
      <c r="A19">
        <v>1.33</v>
      </c>
      <c r="B19">
        <f t="shared" si="0"/>
        <v>18</v>
      </c>
      <c r="C19">
        <f t="shared" si="1"/>
        <v>0.20930232558139536</v>
      </c>
    </row>
    <row r="20" spans="1:3" x14ac:dyDescent="0.35">
      <c r="A20">
        <v>1.6</v>
      </c>
      <c r="B20">
        <f t="shared" si="0"/>
        <v>19</v>
      </c>
      <c r="C20">
        <f t="shared" si="1"/>
        <v>0.22093023255813954</v>
      </c>
    </row>
    <row r="21" spans="1:3" x14ac:dyDescent="0.35">
      <c r="A21">
        <v>2</v>
      </c>
      <c r="B21">
        <f t="shared" si="0"/>
        <v>20</v>
      </c>
      <c r="C21">
        <f t="shared" si="1"/>
        <v>0.23255813953488372</v>
      </c>
    </row>
    <row r="22" spans="1:3" x14ac:dyDescent="0.35">
      <c r="A22">
        <v>2</v>
      </c>
      <c r="B22">
        <f t="shared" si="0"/>
        <v>21</v>
      </c>
      <c r="C22">
        <f t="shared" si="1"/>
        <v>0.2441860465116279</v>
      </c>
    </row>
    <row r="23" spans="1:3" x14ac:dyDescent="0.35">
      <c r="A23">
        <v>2</v>
      </c>
      <c r="B23">
        <f t="shared" si="0"/>
        <v>22</v>
      </c>
      <c r="C23">
        <f t="shared" si="1"/>
        <v>0.2558139534883721</v>
      </c>
    </row>
    <row r="24" spans="1:3" x14ac:dyDescent="0.35">
      <c r="A24">
        <v>2</v>
      </c>
      <c r="B24">
        <f t="shared" si="0"/>
        <v>23</v>
      </c>
      <c r="C24">
        <f t="shared" si="1"/>
        <v>0.26744186046511625</v>
      </c>
    </row>
    <row r="25" spans="1:3" x14ac:dyDescent="0.35">
      <c r="A25">
        <v>2</v>
      </c>
      <c r="B25">
        <f t="shared" si="0"/>
        <v>24</v>
      </c>
      <c r="C25">
        <f t="shared" si="1"/>
        <v>0.27906976744186046</v>
      </c>
    </row>
    <row r="26" spans="1:3" x14ac:dyDescent="0.35">
      <c r="A26">
        <v>2</v>
      </c>
      <c r="B26">
        <f t="shared" si="0"/>
        <v>25</v>
      </c>
      <c r="C26">
        <f t="shared" si="1"/>
        <v>0.29069767441860467</v>
      </c>
    </row>
    <row r="27" spans="1:3" x14ac:dyDescent="0.35">
      <c r="A27">
        <v>2</v>
      </c>
      <c r="B27">
        <f t="shared" si="0"/>
        <v>26</v>
      </c>
      <c r="C27">
        <f t="shared" si="1"/>
        <v>0.30232558139534882</v>
      </c>
    </row>
    <row r="28" spans="1:3" x14ac:dyDescent="0.35">
      <c r="A28">
        <v>2</v>
      </c>
      <c r="B28">
        <f t="shared" si="0"/>
        <v>27</v>
      </c>
      <c r="C28">
        <f t="shared" si="1"/>
        <v>0.31395348837209303</v>
      </c>
    </row>
    <row r="29" spans="1:3" x14ac:dyDescent="0.35">
      <c r="A29">
        <v>2</v>
      </c>
      <c r="B29">
        <f t="shared" si="0"/>
        <v>28</v>
      </c>
      <c r="C29">
        <f t="shared" si="1"/>
        <v>0.32558139534883723</v>
      </c>
    </row>
    <row r="30" spans="1:3" x14ac:dyDescent="0.35">
      <c r="A30">
        <v>2.25</v>
      </c>
      <c r="B30">
        <f t="shared" si="0"/>
        <v>29</v>
      </c>
      <c r="C30">
        <f t="shared" si="1"/>
        <v>0.33720930232558138</v>
      </c>
    </row>
    <row r="31" spans="1:3" x14ac:dyDescent="0.35">
      <c r="A31">
        <v>2.4</v>
      </c>
      <c r="B31">
        <f t="shared" si="0"/>
        <v>30</v>
      </c>
      <c r="C31">
        <f t="shared" si="1"/>
        <v>0.34883720930232559</v>
      </c>
    </row>
    <row r="32" spans="1:3" x14ac:dyDescent="0.35">
      <c r="A32">
        <v>2.5</v>
      </c>
      <c r="B32">
        <f t="shared" si="0"/>
        <v>31</v>
      </c>
      <c r="C32">
        <f t="shared" si="1"/>
        <v>0.36046511627906974</v>
      </c>
    </row>
    <row r="33" spans="1:3" x14ac:dyDescent="0.35">
      <c r="A33">
        <v>2.57</v>
      </c>
      <c r="B33">
        <f t="shared" si="0"/>
        <v>32</v>
      </c>
      <c r="C33">
        <f t="shared" si="1"/>
        <v>0.37209302325581395</v>
      </c>
    </row>
    <row r="34" spans="1:3" x14ac:dyDescent="0.35">
      <c r="A34">
        <v>3</v>
      </c>
      <c r="B34">
        <f t="shared" si="0"/>
        <v>33</v>
      </c>
      <c r="C34">
        <f t="shared" si="1"/>
        <v>0.38372093023255816</v>
      </c>
    </row>
    <row r="35" spans="1:3" x14ac:dyDescent="0.35">
      <c r="A35">
        <v>3</v>
      </c>
      <c r="B35">
        <f t="shared" si="0"/>
        <v>34</v>
      </c>
      <c r="C35">
        <f t="shared" si="1"/>
        <v>0.39534883720930231</v>
      </c>
    </row>
    <row r="36" spans="1:3" x14ac:dyDescent="0.35">
      <c r="A36">
        <v>3</v>
      </c>
      <c r="B36">
        <f t="shared" si="0"/>
        <v>35</v>
      </c>
      <c r="C36">
        <f t="shared" si="1"/>
        <v>0.40697674418604651</v>
      </c>
    </row>
    <row r="37" spans="1:3" x14ac:dyDescent="0.35">
      <c r="A37">
        <v>3.33</v>
      </c>
      <c r="B37">
        <f t="shared" si="0"/>
        <v>36</v>
      </c>
      <c r="C37">
        <f t="shared" si="1"/>
        <v>0.41860465116279072</v>
      </c>
    </row>
    <row r="38" spans="1:3" x14ac:dyDescent="0.35">
      <c r="A38">
        <v>3.5</v>
      </c>
      <c r="B38">
        <f t="shared" si="0"/>
        <v>37</v>
      </c>
      <c r="C38">
        <f t="shared" si="1"/>
        <v>0.43023255813953487</v>
      </c>
    </row>
    <row r="39" spans="1:3" x14ac:dyDescent="0.35">
      <c r="A39">
        <v>4</v>
      </c>
      <c r="B39">
        <f t="shared" si="0"/>
        <v>38</v>
      </c>
      <c r="C39">
        <f t="shared" si="1"/>
        <v>0.44186046511627908</v>
      </c>
    </row>
    <row r="40" spans="1:3" x14ac:dyDescent="0.35">
      <c r="A40">
        <v>4</v>
      </c>
      <c r="B40">
        <f t="shared" si="0"/>
        <v>39</v>
      </c>
      <c r="C40">
        <f t="shared" si="1"/>
        <v>0.45348837209302323</v>
      </c>
    </row>
    <row r="41" spans="1:3" x14ac:dyDescent="0.35">
      <c r="A41">
        <v>4</v>
      </c>
      <c r="B41">
        <f t="shared" si="0"/>
        <v>40</v>
      </c>
      <c r="C41">
        <f t="shared" si="1"/>
        <v>0.46511627906976744</v>
      </c>
    </row>
    <row r="42" spans="1:3" x14ac:dyDescent="0.35">
      <c r="A42">
        <v>4.25</v>
      </c>
      <c r="B42">
        <f t="shared" si="0"/>
        <v>41</v>
      </c>
      <c r="C42">
        <f t="shared" si="1"/>
        <v>0.47674418604651164</v>
      </c>
    </row>
    <row r="43" spans="1:3" x14ac:dyDescent="0.35">
      <c r="A43">
        <v>4.5</v>
      </c>
      <c r="B43">
        <f t="shared" si="0"/>
        <v>42</v>
      </c>
      <c r="C43">
        <f t="shared" si="1"/>
        <v>0.48837209302325579</v>
      </c>
    </row>
    <row r="44" spans="1:3" x14ac:dyDescent="0.35">
      <c r="A44">
        <v>4.5999999999999996</v>
      </c>
      <c r="B44">
        <f t="shared" si="0"/>
        <v>43</v>
      </c>
      <c r="C44">
        <f t="shared" si="1"/>
        <v>0.5</v>
      </c>
    </row>
    <row r="45" spans="1:3" x14ac:dyDescent="0.35">
      <c r="A45">
        <v>5</v>
      </c>
      <c r="B45">
        <f t="shared" si="0"/>
        <v>44</v>
      </c>
      <c r="C45">
        <f t="shared" si="1"/>
        <v>0.51162790697674421</v>
      </c>
    </row>
    <row r="46" spans="1:3" x14ac:dyDescent="0.35">
      <c r="A46">
        <v>5.0999999999999996</v>
      </c>
      <c r="B46">
        <f t="shared" si="0"/>
        <v>45</v>
      </c>
      <c r="C46">
        <f t="shared" si="1"/>
        <v>0.52325581395348841</v>
      </c>
    </row>
    <row r="47" spans="1:3" x14ac:dyDescent="0.35">
      <c r="A47">
        <v>6.6</v>
      </c>
      <c r="B47">
        <f t="shared" si="0"/>
        <v>46</v>
      </c>
      <c r="C47">
        <f t="shared" si="1"/>
        <v>0.53488372093023251</v>
      </c>
    </row>
    <row r="48" spans="1:3" x14ac:dyDescent="0.35">
      <c r="A48">
        <v>6.75</v>
      </c>
      <c r="B48">
        <f t="shared" si="0"/>
        <v>47</v>
      </c>
      <c r="C48">
        <f t="shared" si="1"/>
        <v>0.54651162790697672</v>
      </c>
    </row>
    <row r="49" spans="1:3" x14ac:dyDescent="0.35">
      <c r="A49">
        <v>6.9</v>
      </c>
      <c r="B49">
        <f t="shared" si="0"/>
        <v>48</v>
      </c>
      <c r="C49">
        <f t="shared" si="1"/>
        <v>0.55813953488372092</v>
      </c>
    </row>
    <row r="50" spans="1:3" x14ac:dyDescent="0.35">
      <c r="A50">
        <v>7</v>
      </c>
      <c r="B50">
        <f t="shared" si="0"/>
        <v>49</v>
      </c>
      <c r="C50">
        <f t="shared" si="1"/>
        <v>0.56976744186046513</v>
      </c>
    </row>
    <row r="51" spans="1:3" x14ac:dyDescent="0.35">
      <c r="A51">
        <v>7</v>
      </c>
      <c r="B51">
        <f t="shared" si="0"/>
        <v>50</v>
      </c>
      <c r="C51">
        <f t="shared" si="1"/>
        <v>0.58139534883720934</v>
      </c>
    </row>
    <row r="52" spans="1:3" x14ac:dyDescent="0.35">
      <c r="A52">
        <v>7.14</v>
      </c>
      <c r="B52">
        <f t="shared" si="0"/>
        <v>51</v>
      </c>
      <c r="C52">
        <f t="shared" si="1"/>
        <v>0.59302325581395354</v>
      </c>
    </row>
    <row r="53" spans="1:3" x14ac:dyDescent="0.35">
      <c r="A53">
        <v>7.14</v>
      </c>
      <c r="B53">
        <f t="shared" si="0"/>
        <v>52</v>
      </c>
      <c r="C53">
        <f t="shared" si="1"/>
        <v>0.60465116279069764</v>
      </c>
    </row>
    <row r="54" spans="1:3" x14ac:dyDescent="0.35">
      <c r="A54">
        <v>7.14</v>
      </c>
      <c r="B54">
        <f t="shared" si="0"/>
        <v>53</v>
      </c>
      <c r="C54">
        <f t="shared" si="1"/>
        <v>0.61627906976744184</v>
      </c>
    </row>
    <row r="55" spans="1:3" x14ac:dyDescent="0.35">
      <c r="A55">
        <v>7.19</v>
      </c>
      <c r="B55">
        <f t="shared" si="0"/>
        <v>54</v>
      </c>
      <c r="C55">
        <f t="shared" si="1"/>
        <v>0.62790697674418605</v>
      </c>
    </row>
    <row r="56" spans="1:3" x14ac:dyDescent="0.35">
      <c r="A56">
        <v>7.5</v>
      </c>
      <c r="B56">
        <f t="shared" si="0"/>
        <v>55</v>
      </c>
      <c r="C56">
        <f t="shared" si="1"/>
        <v>0.63953488372093026</v>
      </c>
    </row>
    <row r="57" spans="1:3" x14ac:dyDescent="0.35">
      <c r="A57">
        <v>7.67</v>
      </c>
      <c r="B57">
        <f t="shared" si="0"/>
        <v>56</v>
      </c>
      <c r="C57">
        <f t="shared" si="1"/>
        <v>0.65116279069767447</v>
      </c>
    </row>
    <row r="58" spans="1:3" x14ac:dyDescent="0.35">
      <c r="A58">
        <v>7.8</v>
      </c>
      <c r="B58">
        <f t="shared" si="0"/>
        <v>57</v>
      </c>
      <c r="C58">
        <f t="shared" si="1"/>
        <v>0.66279069767441856</v>
      </c>
    </row>
    <row r="59" spans="1:3" x14ac:dyDescent="0.35">
      <c r="A59">
        <v>8</v>
      </c>
      <c r="B59">
        <f t="shared" si="0"/>
        <v>58</v>
      </c>
      <c r="C59">
        <f t="shared" si="1"/>
        <v>0.67441860465116277</v>
      </c>
    </row>
    <row r="60" spans="1:3" x14ac:dyDescent="0.35">
      <c r="A60">
        <v>8.15</v>
      </c>
      <c r="B60">
        <f t="shared" si="0"/>
        <v>59</v>
      </c>
      <c r="C60">
        <f t="shared" si="1"/>
        <v>0.68604651162790697</v>
      </c>
    </row>
    <row r="61" spans="1:3" x14ac:dyDescent="0.35">
      <c r="A61">
        <v>8.15</v>
      </c>
      <c r="B61">
        <f t="shared" si="0"/>
        <v>60</v>
      </c>
      <c r="C61">
        <f t="shared" si="1"/>
        <v>0.69767441860465118</v>
      </c>
    </row>
    <row r="62" spans="1:3" x14ac:dyDescent="0.35">
      <c r="A62">
        <v>8.33</v>
      </c>
      <c r="B62">
        <f t="shared" si="0"/>
        <v>61</v>
      </c>
      <c r="C62">
        <f t="shared" si="1"/>
        <v>0.70930232558139539</v>
      </c>
    </row>
    <row r="63" spans="1:3" x14ac:dyDescent="0.35">
      <c r="A63">
        <v>11</v>
      </c>
      <c r="B63">
        <f t="shared" si="0"/>
        <v>62</v>
      </c>
      <c r="C63">
        <f t="shared" si="1"/>
        <v>0.72093023255813948</v>
      </c>
    </row>
    <row r="64" spans="1:3" x14ac:dyDescent="0.35">
      <c r="A64">
        <v>11.33</v>
      </c>
      <c r="B64">
        <f t="shared" si="0"/>
        <v>63</v>
      </c>
      <c r="C64">
        <f t="shared" si="1"/>
        <v>0.73255813953488369</v>
      </c>
    </row>
    <row r="65" spans="1:3" x14ac:dyDescent="0.35">
      <c r="A65">
        <v>12</v>
      </c>
      <c r="B65">
        <f t="shared" si="0"/>
        <v>64</v>
      </c>
      <c r="C65">
        <f t="shared" si="1"/>
        <v>0.7441860465116279</v>
      </c>
    </row>
    <row r="66" spans="1:3" x14ac:dyDescent="0.35">
      <c r="A66">
        <v>13.33</v>
      </c>
      <c r="B66">
        <f t="shared" si="0"/>
        <v>65</v>
      </c>
      <c r="C66">
        <f t="shared" si="1"/>
        <v>0.7558139534883721</v>
      </c>
    </row>
    <row r="67" spans="1:3" x14ac:dyDescent="0.35">
      <c r="A67">
        <v>13.33</v>
      </c>
      <c r="B67">
        <f t="shared" ref="B67:B87" si="2">ROW()-1</f>
        <v>66</v>
      </c>
      <c r="C67">
        <f t="shared" ref="C67:C87" si="3">B67/COUNT($A:$A)</f>
        <v>0.76744186046511631</v>
      </c>
    </row>
    <row r="68" spans="1:3" x14ac:dyDescent="0.35">
      <c r="A68">
        <v>14.33</v>
      </c>
      <c r="B68">
        <f t="shared" si="2"/>
        <v>67</v>
      </c>
      <c r="C68">
        <f t="shared" si="3"/>
        <v>0.77906976744186052</v>
      </c>
    </row>
    <row r="69" spans="1:3" x14ac:dyDescent="0.35">
      <c r="A69">
        <v>14.75</v>
      </c>
      <c r="B69">
        <f t="shared" si="2"/>
        <v>68</v>
      </c>
      <c r="C69">
        <f t="shared" si="3"/>
        <v>0.79069767441860461</v>
      </c>
    </row>
    <row r="70" spans="1:3" x14ac:dyDescent="0.35">
      <c r="A70">
        <v>15.25</v>
      </c>
      <c r="B70">
        <f t="shared" si="2"/>
        <v>69</v>
      </c>
      <c r="C70">
        <f t="shared" si="3"/>
        <v>0.80232558139534882</v>
      </c>
    </row>
    <row r="71" spans="1:3" x14ac:dyDescent="0.35">
      <c r="A71">
        <v>15.67</v>
      </c>
      <c r="B71">
        <f t="shared" si="2"/>
        <v>70</v>
      </c>
      <c r="C71">
        <f t="shared" si="3"/>
        <v>0.81395348837209303</v>
      </c>
    </row>
    <row r="72" spans="1:3" x14ac:dyDescent="0.35">
      <c r="A72">
        <v>16.21</v>
      </c>
      <c r="B72">
        <f t="shared" si="2"/>
        <v>71</v>
      </c>
      <c r="C72">
        <f t="shared" si="3"/>
        <v>0.82558139534883723</v>
      </c>
    </row>
    <row r="73" spans="1:3" x14ac:dyDescent="0.35">
      <c r="A73">
        <v>17</v>
      </c>
      <c r="B73">
        <f t="shared" si="2"/>
        <v>72</v>
      </c>
      <c r="C73">
        <f t="shared" si="3"/>
        <v>0.83720930232558144</v>
      </c>
    </row>
    <row r="74" spans="1:3" x14ac:dyDescent="0.35">
      <c r="A74">
        <v>17.170000000000002</v>
      </c>
      <c r="B74">
        <f t="shared" si="2"/>
        <v>73</v>
      </c>
      <c r="C74">
        <f t="shared" si="3"/>
        <v>0.84883720930232553</v>
      </c>
    </row>
    <row r="75" spans="1:3" x14ac:dyDescent="0.35">
      <c r="A75">
        <v>17.329999999999998</v>
      </c>
      <c r="B75">
        <f t="shared" si="2"/>
        <v>74</v>
      </c>
      <c r="C75">
        <f t="shared" si="3"/>
        <v>0.86046511627906974</v>
      </c>
    </row>
    <row r="76" spans="1:3" x14ac:dyDescent="0.35">
      <c r="A76">
        <v>18</v>
      </c>
      <c r="B76">
        <f t="shared" si="2"/>
        <v>75</v>
      </c>
      <c r="C76">
        <f t="shared" si="3"/>
        <v>0.87209302325581395</v>
      </c>
    </row>
    <row r="77" spans="1:3" x14ac:dyDescent="0.35">
      <c r="A77">
        <v>18.27</v>
      </c>
      <c r="B77">
        <f t="shared" si="2"/>
        <v>76</v>
      </c>
      <c r="C77">
        <f t="shared" si="3"/>
        <v>0.88372093023255816</v>
      </c>
    </row>
    <row r="78" spans="1:3" x14ac:dyDescent="0.35">
      <c r="A78">
        <v>18.760000000000002</v>
      </c>
      <c r="B78">
        <f t="shared" si="2"/>
        <v>77</v>
      </c>
      <c r="C78">
        <f t="shared" si="3"/>
        <v>0.89534883720930236</v>
      </c>
    </row>
    <row r="79" spans="1:3" x14ac:dyDescent="0.35">
      <c r="A79">
        <v>19</v>
      </c>
      <c r="B79">
        <f t="shared" si="2"/>
        <v>78</v>
      </c>
      <c r="C79">
        <f t="shared" si="3"/>
        <v>0.90697674418604646</v>
      </c>
    </row>
    <row r="80" spans="1:3" x14ac:dyDescent="0.35">
      <c r="A80">
        <v>19.88</v>
      </c>
      <c r="B80">
        <f t="shared" si="2"/>
        <v>79</v>
      </c>
      <c r="C80">
        <f t="shared" si="3"/>
        <v>0.91860465116279066</v>
      </c>
    </row>
    <row r="81" spans="1:3" x14ac:dyDescent="0.35">
      <c r="A81">
        <v>23.45</v>
      </c>
      <c r="B81">
        <f t="shared" si="2"/>
        <v>80</v>
      </c>
      <c r="C81">
        <f t="shared" si="3"/>
        <v>0.93023255813953487</v>
      </c>
    </row>
    <row r="82" spans="1:3" x14ac:dyDescent="0.35">
      <c r="A82">
        <v>24.67</v>
      </c>
      <c r="B82">
        <f t="shared" si="2"/>
        <v>81</v>
      </c>
      <c r="C82">
        <f t="shared" si="3"/>
        <v>0.94186046511627908</v>
      </c>
    </row>
    <row r="83" spans="1:3" x14ac:dyDescent="0.35">
      <c r="A83">
        <v>24.83</v>
      </c>
      <c r="B83">
        <f t="shared" si="2"/>
        <v>82</v>
      </c>
      <c r="C83">
        <f t="shared" si="3"/>
        <v>0.95348837209302328</v>
      </c>
    </row>
    <row r="84" spans="1:3" x14ac:dyDescent="0.35">
      <c r="A84">
        <v>28.74</v>
      </c>
      <c r="B84">
        <f t="shared" si="2"/>
        <v>83</v>
      </c>
      <c r="C84">
        <f t="shared" si="3"/>
        <v>0.96511627906976749</v>
      </c>
    </row>
    <row r="85" spans="1:3" x14ac:dyDescent="0.35">
      <c r="A85">
        <v>36.69</v>
      </c>
      <c r="B85">
        <f t="shared" si="2"/>
        <v>84</v>
      </c>
      <c r="C85">
        <f t="shared" si="3"/>
        <v>0.97674418604651159</v>
      </c>
    </row>
    <row r="86" spans="1:3" x14ac:dyDescent="0.35">
      <c r="A86">
        <v>39</v>
      </c>
      <c r="B86">
        <f t="shared" si="2"/>
        <v>85</v>
      </c>
      <c r="C86">
        <f t="shared" si="3"/>
        <v>0.98837209302325579</v>
      </c>
    </row>
    <row r="87" spans="1:3" x14ac:dyDescent="0.35">
      <c r="A87">
        <v>80</v>
      </c>
      <c r="B87">
        <f t="shared" si="2"/>
        <v>86</v>
      </c>
      <c r="C87">
        <f t="shared" si="3"/>
        <v>1</v>
      </c>
    </row>
  </sheetData>
  <sortState xmlns:xlrd2="http://schemas.microsoft.com/office/spreadsheetml/2017/richdata2" ref="A2:A88">
    <sortCondition ref="A1:A8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2009-3484-4FFD-B43E-BE92E563BEAD}">
  <dimension ref="A1:C87"/>
  <sheetViews>
    <sheetView workbookViewId="0">
      <selection activeCell="C1" activeCellId="1" sqref="A1:A1048576 C1:C1048576"/>
    </sheetView>
  </sheetViews>
  <sheetFormatPr defaultRowHeight="14.5" x14ac:dyDescent="0.35"/>
  <sheetData>
    <row r="1" spans="1:3" x14ac:dyDescent="0.35">
      <c r="A1" t="s">
        <v>7</v>
      </c>
    </row>
    <row r="2" spans="1:3" x14ac:dyDescent="0.35">
      <c r="A2">
        <v>0</v>
      </c>
      <c r="B2">
        <f>ROW()-1</f>
        <v>1</v>
      </c>
      <c r="C2">
        <f>B2/COUNT($A:$A)</f>
        <v>1.1627906976744186E-2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2.3255813953488372E-2</v>
      </c>
    </row>
    <row r="4" spans="1:3" x14ac:dyDescent="0.35">
      <c r="A4">
        <v>0</v>
      </c>
      <c r="B4">
        <f t="shared" si="0"/>
        <v>3</v>
      </c>
      <c r="C4">
        <f t="shared" si="1"/>
        <v>3.4883720930232558E-2</v>
      </c>
    </row>
    <row r="5" spans="1:3" x14ac:dyDescent="0.35">
      <c r="A5">
        <v>0</v>
      </c>
      <c r="B5">
        <f t="shared" si="0"/>
        <v>4</v>
      </c>
      <c r="C5">
        <f t="shared" si="1"/>
        <v>4.6511627906976744E-2</v>
      </c>
    </row>
    <row r="6" spans="1:3" x14ac:dyDescent="0.35">
      <c r="A6">
        <v>0</v>
      </c>
      <c r="B6">
        <f t="shared" si="0"/>
        <v>5</v>
      </c>
      <c r="C6">
        <f t="shared" si="1"/>
        <v>5.8139534883720929E-2</v>
      </c>
    </row>
    <row r="7" spans="1:3" x14ac:dyDescent="0.35">
      <c r="A7">
        <v>0</v>
      </c>
      <c r="B7">
        <f t="shared" si="0"/>
        <v>6</v>
      </c>
      <c r="C7">
        <f t="shared" si="1"/>
        <v>6.9767441860465115E-2</v>
      </c>
    </row>
    <row r="8" spans="1:3" x14ac:dyDescent="0.35">
      <c r="A8">
        <v>0</v>
      </c>
      <c r="B8">
        <f t="shared" si="0"/>
        <v>7</v>
      </c>
      <c r="C8">
        <f t="shared" si="1"/>
        <v>8.1395348837209308E-2</v>
      </c>
    </row>
    <row r="9" spans="1:3" x14ac:dyDescent="0.35">
      <c r="A9">
        <v>0</v>
      </c>
      <c r="B9">
        <f t="shared" si="0"/>
        <v>8</v>
      </c>
      <c r="C9">
        <f t="shared" si="1"/>
        <v>9.3023255813953487E-2</v>
      </c>
    </row>
    <row r="10" spans="1:3" x14ac:dyDescent="0.35">
      <c r="A10">
        <v>0</v>
      </c>
      <c r="B10">
        <f t="shared" si="0"/>
        <v>9</v>
      </c>
      <c r="C10">
        <f t="shared" si="1"/>
        <v>0.10465116279069768</v>
      </c>
    </row>
    <row r="11" spans="1:3" x14ac:dyDescent="0.35">
      <c r="A11">
        <v>0</v>
      </c>
      <c r="B11">
        <f t="shared" si="0"/>
        <v>10</v>
      </c>
      <c r="C11">
        <f t="shared" si="1"/>
        <v>0.11627906976744186</v>
      </c>
    </row>
    <row r="12" spans="1:3" x14ac:dyDescent="0.35">
      <c r="A12">
        <v>0</v>
      </c>
      <c r="B12">
        <f t="shared" si="0"/>
        <v>11</v>
      </c>
      <c r="C12">
        <f t="shared" si="1"/>
        <v>0.12790697674418605</v>
      </c>
    </row>
    <row r="13" spans="1:3" x14ac:dyDescent="0.35">
      <c r="A13">
        <v>0</v>
      </c>
      <c r="B13">
        <f t="shared" si="0"/>
        <v>12</v>
      </c>
      <c r="C13">
        <f t="shared" si="1"/>
        <v>0.13953488372093023</v>
      </c>
    </row>
    <row r="14" spans="1:3" x14ac:dyDescent="0.35">
      <c r="A14">
        <v>0</v>
      </c>
      <c r="B14">
        <f t="shared" si="0"/>
        <v>13</v>
      </c>
      <c r="C14">
        <f t="shared" si="1"/>
        <v>0.15116279069767441</v>
      </c>
    </row>
    <row r="15" spans="1:3" x14ac:dyDescent="0.35">
      <c r="A15">
        <v>0</v>
      </c>
      <c r="B15">
        <f t="shared" si="0"/>
        <v>14</v>
      </c>
      <c r="C15">
        <f t="shared" si="1"/>
        <v>0.16279069767441862</v>
      </c>
    </row>
    <row r="16" spans="1:3" x14ac:dyDescent="0.35">
      <c r="A16">
        <v>0</v>
      </c>
      <c r="B16">
        <f t="shared" si="0"/>
        <v>15</v>
      </c>
      <c r="C16">
        <f t="shared" si="1"/>
        <v>0.1744186046511628</v>
      </c>
    </row>
    <row r="17" spans="1:3" x14ac:dyDescent="0.35">
      <c r="A17">
        <v>0</v>
      </c>
      <c r="B17">
        <f t="shared" si="0"/>
        <v>16</v>
      </c>
      <c r="C17">
        <f t="shared" si="1"/>
        <v>0.18604651162790697</v>
      </c>
    </row>
    <row r="18" spans="1:3" x14ac:dyDescent="0.35">
      <c r="A18">
        <v>1</v>
      </c>
      <c r="B18">
        <f t="shared" si="0"/>
        <v>17</v>
      </c>
      <c r="C18">
        <f t="shared" si="1"/>
        <v>0.19767441860465115</v>
      </c>
    </row>
    <row r="19" spans="1:3" x14ac:dyDescent="0.35">
      <c r="A19">
        <v>1</v>
      </c>
      <c r="B19">
        <f t="shared" si="0"/>
        <v>18</v>
      </c>
      <c r="C19">
        <f t="shared" si="1"/>
        <v>0.20930232558139536</v>
      </c>
    </row>
    <row r="20" spans="1:3" x14ac:dyDescent="0.35">
      <c r="A20">
        <v>1</v>
      </c>
      <c r="B20">
        <f t="shared" si="0"/>
        <v>19</v>
      </c>
      <c r="C20">
        <f t="shared" si="1"/>
        <v>0.22093023255813954</v>
      </c>
    </row>
    <row r="21" spans="1:3" x14ac:dyDescent="0.35">
      <c r="A21">
        <v>1</v>
      </c>
      <c r="B21">
        <f t="shared" si="0"/>
        <v>20</v>
      </c>
      <c r="C21">
        <f t="shared" si="1"/>
        <v>0.23255813953488372</v>
      </c>
    </row>
    <row r="22" spans="1:3" x14ac:dyDescent="0.35">
      <c r="A22">
        <v>1</v>
      </c>
      <c r="B22">
        <f t="shared" si="0"/>
        <v>21</v>
      </c>
      <c r="C22">
        <f t="shared" si="1"/>
        <v>0.2441860465116279</v>
      </c>
    </row>
    <row r="23" spans="1:3" x14ac:dyDescent="0.35">
      <c r="A23">
        <v>1</v>
      </c>
      <c r="B23">
        <f t="shared" si="0"/>
        <v>22</v>
      </c>
      <c r="C23">
        <f t="shared" si="1"/>
        <v>0.2558139534883721</v>
      </c>
    </row>
    <row r="24" spans="1:3" x14ac:dyDescent="0.35">
      <c r="A24">
        <v>1</v>
      </c>
      <c r="B24">
        <f t="shared" si="0"/>
        <v>23</v>
      </c>
      <c r="C24">
        <f t="shared" si="1"/>
        <v>0.26744186046511625</v>
      </c>
    </row>
    <row r="25" spans="1:3" x14ac:dyDescent="0.35">
      <c r="A25">
        <v>2</v>
      </c>
      <c r="B25">
        <f t="shared" si="0"/>
        <v>24</v>
      </c>
      <c r="C25">
        <f t="shared" si="1"/>
        <v>0.27906976744186046</v>
      </c>
    </row>
    <row r="26" spans="1:3" x14ac:dyDescent="0.35">
      <c r="A26">
        <v>2</v>
      </c>
      <c r="B26">
        <f t="shared" si="0"/>
        <v>25</v>
      </c>
      <c r="C26">
        <f t="shared" si="1"/>
        <v>0.29069767441860467</v>
      </c>
    </row>
    <row r="27" spans="1:3" x14ac:dyDescent="0.35">
      <c r="A27">
        <v>2</v>
      </c>
      <c r="B27">
        <f t="shared" si="0"/>
        <v>26</v>
      </c>
      <c r="C27">
        <f t="shared" si="1"/>
        <v>0.30232558139534882</v>
      </c>
    </row>
    <row r="28" spans="1:3" x14ac:dyDescent="0.35">
      <c r="A28">
        <v>2</v>
      </c>
      <c r="B28">
        <f t="shared" si="0"/>
        <v>27</v>
      </c>
      <c r="C28">
        <f t="shared" si="1"/>
        <v>0.31395348837209303</v>
      </c>
    </row>
    <row r="29" spans="1:3" x14ac:dyDescent="0.35">
      <c r="A29">
        <v>2</v>
      </c>
      <c r="B29">
        <f t="shared" si="0"/>
        <v>28</v>
      </c>
      <c r="C29">
        <f t="shared" si="1"/>
        <v>0.32558139534883723</v>
      </c>
    </row>
    <row r="30" spans="1:3" x14ac:dyDescent="0.35">
      <c r="A30">
        <v>2</v>
      </c>
      <c r="B30">
        <f t="shared" si="0"/>
        <v>29</v>
      </c>
      <c r="C30">
        <f t="shared" si="1"/>
        <v>0.33720930232558138</v>
      </c>
    </row>
    <row r="31" spans="1:3" x14ac:dyDescent="0.35">
      <c r="A31">
        <v>2</v>
      </c>
      <c r="B31">
        <f t="shared" si="0"/>
        <v>30</v>
      </c>
      <c r="C31">
        <f t="shared" si="1"/>
        <v>0.34883720930232559</v>
      </c>
    </row>
    <row r="32" spans="1:3" x14ac:dyDescent="0.35">
      <c r="A32">
        <v>2</v>
      </c>
      <c r="B32">
        <f t="shared" si="0"/>
        <v>31</v>
      </c>
      <c r="C32">
        <f t="shared" si="1"/>
        <v>0.36046511627906974</v>
      </c>
    </row>
    <row r="33" spans="1:3" x14ac:dyDescent="0.35">
      <c r="A33">
        <v>2</v>
      </c>
      <c r="B33">
        <f t="shared" si="0"/>
        <v>32</v>
      </c>
      <c r="C33">
        <f t="shared" si="1"/>
        <v>0.37209302325581395</v>
      </c>
    </row>
    <row r="34" spans="1:3" x14ac:dyDescent="0.35">
      <c r="A34">
        <v>3</v>
      </c>
      <c r="B34">
        <f t="shared" si="0"/>
        <v>33</v>
      </c>
      <c r="C34">
        <f t="shared" si="1"/>
        <v>0.38372093023255816</v>
      </c>
    </row>
    <row r="35" spans="1:3" x14ac:dyDescent="0.35">
      <c r="A35">
        <v>3</v>
      </c>
      <c r="B35">
        <f t="shared" si="0"/>
        <v>34</v>
      </c>
      <c r="C35">
        <f t="shared" si="1"/>
        <v>0.39534883720930231</v>
      </c>
    </row>
    <row r="36" spans="1:3" x14ac:dyDescent="0.35">
      <c r="A36">
        <v>3</v>
      </c>
      <c r="B36">
        <f t="shared" si="0"/>
        <v>35</v>
      </c>
      <c r="C36">
        <f t="shared" si="1"/>
        <v>0.40697674418604651</v>
      </c>
    </row>
    <row r="37" spans="1:3" x14ac:dyDescent="0.35">
      <c r="A37">
        <v>3</v>
      </c>
      <c r="B37">
        <f t="shared" si="0"/>
        <v>36</v>
      </c>
      <c r="C37">
        <f t="shared" si="1"/>
        <v>0.41860465116279072</v>
      </c>
    </row>
    <row r="38" spans="1:3" x14ac:dyDescent="0.35">
      <c r="A38">
        <v>3</v>
      </c>
      <c r="B38">
        <f t="shared" si="0"/>
        <v>37</v>
      </c>
      <c r="C38">
        <f t="shared" si="1"/>
        <v>0.43023255813953487</v>
      </c>
    </row>
    <row r="39" spans="1:3" x14ac:dyDescent="0.35">
      <c r="A39">
        <v>3</v>
      </c>
      <c r="B39">
        <f t="shared" si="0"/>
        <v>38</v>
      </c>
      <c r="C39">
        <f t="shared" si="1"/>
        <v>0.44186046511627908</v>
      </c>
    </row>
    <row r="40" spans="1:3" x14ac:dyDescent="0.35">
      <c r="A40">
        <v>3</v>
      </c>
      <c r="B40">
        <f t="shared" si="0"/>
        <v>39</v>
      </c>
      <c r="C40">
        <f t="shared" si="1"/>
        <v>0.45348837209302323</v>
      </c>
    </row>
    <row r="41" spans="1:3" x14ac:dyDescent="0.35">
      <c r="A41">
        <v>3</v>
      </c>
      <c r="B41">
        <f t="shared" si="0"/>
        <v>40</v>
      </c>
      <c r="C41">
        <f t="shared" si="1"/>
        <v>0.46511627906976744</v>
      </c>
    </row>
    <row r="42" spans="1:3" x14ac:dyDescent="0.35">
      <c r="A42">
        <v>3</v>
      </c>
      <c r="B42">
        <f t="shared" si="0"/>
        <v>41</v>
      </c>
      <c r="C42">
        <f t="shared" si="1"/>
        <v>0.47674418604651164</v>
      </c>
    </row>
    <row r="43" spans="1:3" x14ac:dyDescent="0.35">
      <c r="A43">
        <v>3</v>
      </c>
      <c r="B43">
        <f t="shared" si="0"/>
        <v>42</v>
      </c>
      <c r="C43">
        <f t="shared" si="1"/>
        <v>0.48837209302325579</v>
      </c>
    </row>
    <row r="44" spans="1:3" x14ac:dyDescent="0.35">
      <c r="A44">
        <v>3</v>
      </c>
      <c r="B44">
        <f t="shared" si="0"/>
        <v>43</v>
      </c>
      <c r="C44">
        <f t="shared" si="1"/>
        <v>0.5</v>
      </c>
    </row>
    <row r="45" spans="1:3" x14ac:dyDescent="0.35">
      <c r="A45">
        <v>3</v>
      </c>
      <c r="B45">
        <f t="shared" si="0"/>
        <v>44</v>
      </c>
      <c r="C45">
        <f t="shared" si="1"/>
        <v>0.51162790697674421</v>
      </c>
    </row>
    <row r="46" spans="1:3" x14ac:dyDescent="0.35">
      <c r="A46">
        <v>3</v>
      </c>
      <c r="B46">
        <f t="shared" si="0"/>
        <v>45</v>
      </c>
      <c r="C46">
        <f t="shared" si="1"/>
        <v>0.52325581395348841</v>
      </c>
    </row>
    <row r="47" spans="1:3" x14ac:dyDescent="0.35">
      <c r="A47">
        <v>3</v>
      </c>
      <c r="B47">
        <f t="shared" si="0"/>
        <v>46</v>
      </c>
      <c r="C47">
        <f t="shared" si="1"/>
        <v>0.53488372093023251</v>
      </c>
    </row>
    <row r="48" spans="1:3" x14ac:dyDescent="0.35">
      <c r="A48">
        <v>3</v>
      </c>
      <c r="B48">
        <f t="shared" si="0"/>
        <v>47</v>
      </c>
      <c r="C48">
        <f t="shared" si="1"/>
        <v>0.54651162790697672</v>
      </c>
    </row>
    <row r="49" spans="1:3" x14ac:dyDescent="0.35">
      <c r="A49">
        <v>4</v>
      </c>
      <c r="B49">
        <f t="shared" si="0"/>
        <v>48</v>
      </c>
      <c r="C49">
        <f t="shared" si="1"/>
        <v>0.55813953488372092</v>
      </c>
    </row>
    <row r="50" spans="1:3" x14ac:dyDescent="0.35">
      <c r="A50">
        <v>4</v>
      </c>
      <c r="B50">
        <f t="shared" si="0"/>
        <v>49</v>
      </c>
      <c r="C50">
        <f t="shared" si="1"/>
        <v>0.56976744186046513</v>
      </c>
    </row>
    <row r="51" spans="1:3" x14ac:dyDescent="0.35">
      <c r="A51">
        <v>4</v>
      </c>
      <c r="B51">
        <f t="shared" si="0"/>
        <v>50</v>
      </c>
      <c r="C51">
        <f t="shared" si="1"/>
        <v>0.58139534883720934</v>
      </c>
    </row>
    <row r="52" spans="1:3" x14ac:dyDescent="0.35">
      <c r="A52">
        <v>4</v>
      </c>
      <c r="B52">
        <f t="shared" si="0"/>
        <v>51</v>
      </c>
      <c r="C52">
        <f t="shared" si="1"/>
        <v>0.59302325581395354</v>
      </c>
    </row>
    <row r="53" spans="1:3" x14ac:dyDescent="0.35">
      <c r="A53">
        <v>4</v>
      </c>
      <c r="B53">
        <f t="shared" si="0"/>
        <v>52</v>
      </c>
      <c r="C53">
        <f t="shared" si="1"/>
        <v>0.60465116279069764</v>
      </c>
    </row>
    <row r="54" spans="1:3" x14ac:dyDescent="0.35">
      <c r="A54">
        <v>4</v>
      </c>
      <c r="B54">
        <f t="shared" si="0"/>
        <v>53</v>
      </c>
      <c r="C54">
        <f t="shared" si="1"/>
        <v>0.61627906976744184</v>
      </c>
    </row>
    <row r="55" spans="1:3" x14ac:dyDescent="0.35">
      <c r="A55">
        <v>5</v>
      </c>
      <c r="B55">
        <f t="shared" si="0"/>
        <v>54</v>
      </c>
      <c r="C55">
        <f t="shared" si="1"/>
        <v>0.62790697674418605</v>
      </c>
    </row>
    <row r="56" spans="1:3" x14ac:dyDescent="0.35">
      <c r="A56">
        <v>5</v>
      </c>
      <c r="B56">
        <f t="shared" si="0"/>
        <v>55</v>
      </c>
      <c r="C56">
        <f t="shared" si="1"/>
        <v>0.63953488372093026</v>
      </c>
    </row>
    <row r="57" spans="1:3" x14ac:dyDescent="0.35">
      <c r="A57">
        <v>5</v>
      </c>
      <c r="B57">
        <f t="shared" si="0"/>
        <v>56</v>
      </c>
      <c r="C57">
        <f t="shared" si="1"/>
        <v>0.65116279069767447</v>
      </c>
    </row>
    <row r="58" spans="1:3" x14ac:dyDescent="0.35">
      <c r="A58">
        <v>5</v>
      </c>
      <c r="B58">
        <f t="shared" si="0"/>
        <v>57</v>
      </c>
      <c r="C58">
        <f t="shared" si="1"/>
        <v>0.66279069767441856</v>
      </c>
    </row>
    <row r="59" spans="1:3" x14ac:dyDescent="0.35">
      <c r="A59">
        <v>5</v>
      </c>
      <c r="B59">
        <f t="shared" si="0"/>
        <v>58</v>
      </c>
      <c r="C59">
        <f t="shared" si="1"/>
        <v>0.67441860465116277</v>
      </c>
    </row>
    <row r="60" spans="1:3" x14ac:dyDescent="0.35">
      <c r="A60">
        <v>5</v>
      </c>
      <c r="B60">
        <f t="shared" si="0"/>
        <v>59</v>
      </c>
      <c r="C60">
        <f t="shared" si="1"/>
        <v>0.68604651162790697</v>
      </c>
    </row>
    <row r="61" spans="1:3" x14ac:dyDescent="0.35">
      <c r="A61">
        <v>6</v>
      </c>
      <c r="B61">
        <f t="shared" si="0"/>
        <v>60</v>
      </c>
      <c r="C61">
        <f t="shared" si="1"/>
        <v>0.69767441860465118</v>
      </c>
    </row>
    <row r="62" spans="1:3" x14ac:dyDescent="0.35">
      <c r="A62">
        <v>6</v>
      </c>
      <c r="B62">
        <f t="shared" si="0"/>
        <v>61</v>
      </c>
      <c r="C62">
        <f t="shared" si="1"/>
        <v>0.70930232558139539</v>
      </c>
    </row>
    <row r="63" spans="1:3" x14ac:dyDescent="0.35">
      <c r="A63">
        <v>6</v>
      </c>
      <c r="B63">
        <f t="shared" si="0"/>
        <v>62</v>
      </c>
      <c r="C63">
        <f t="shared" si="1"/>
        <v>0.72093023255813948</v>
      </c>
    </row>
    <row r="64" spans="1:3" x14ac:dyDescent="0.35">
      <c r="A64">
        <v>6</v>
      </c>
      <c r="B64">
        <f t="shared" si="0"/>
        <v>63</v>
      </c>
      <c r="C64">
        <f t="shared" si="1"/>
        <v>0.73255813953488369</v>
      </c>
    </row>
    <row r="65" spans="1:3" x14ac:dyDescent="0.35">
      <c r="A65">
        <v>7</v>
      </c>
      <c r="B65">
        <f t="shared" si="0"/>
        <v>64</v>
      </c>
      <c r="C65">
        <f t="shared" si="1"/>
        <v>0.7441860465116279</v>
      </c>
    </row>
    <row r="66" spans="1:3" x14ac:dyDescent="0.35">
      <c r="A66">
        <v>8</v>
      </c>
      <c r="B66">
        <f t="shared" si="0"/>
        <v>65</v>
      </c>
      <c r="C66">
        <f t="shared" si="1"/>
        <v>0.7558139534883721</v>
      </c>
    </row>
    <row r="67" spans="1:3" x14ac:dyDescent="0.35">
      <c r="A67">
        <v>10</v>
      </c>
      <c r="B67">
        <f t="shared" ref="B67:B87" si="2">ROW()-1</f>
        <v>66</v>
      </c>
      <c r="C67">
        <f t="shared" ref="C67:C87" si="3">B67/COUNT($A:$A)</f>
        <v>0.76744186046511631</v>
      </c>
    </row>
    <row r="68" spans="1:3" x14ac:dyDescent="0.35">
      <c r="A68">
        <v>10</v>
      </c>
      <c r="B68">
        <f t="shared" si="2"/>
        <v>67</v>
      </c>
      <c r="C68">
        <f t="shared" si="3"/>
        <v>0.77906976744186052</v>
      </c>
    </row>
    <row r="69" spans="1:3" x14ac:dyDescent="0.35">
      <c r="A69">
        <v>10</v>
      </c>
      <c r="B69">
        <f t="shared" si="2"/>
        <v>68</v>
      </c>
      <c r="C69">
        <f t="shared" si="3"/>
        <v>0.79069767441860461</v>
      </c>
    </row>
    <row r="70" spans="1:3" x14ac:dyDescent="0.35">
      <c r="A70">
        <v>11</v>
      </c>
      <c r="B70">
        <f t="shared" si="2"/>
        <v>69</v>
      </c>
      <c r="C70">
        <f t="shared" si="3"/>
        <v>0.80232558139534882</v>
      </c>
    </row>
    <row r="71" spans="1:3" x14ac:dyDescent="0.35">
      <c r="A71">
        <v>12</v>
      </c>
      <c r="B71">
        <f t="shared" si="2"/>
        <v>70</v>
      </c>
      <c r="C71">
        <f t="shared" si="3"/>
        <v>0.81395348837209303</v>
      </c>
    </row>
    <row r="72" spans="1:3" x14ac:dyDescent="0.35">
      <c r="A72">
        <v>13</v>
      </c>
      <c r="B72">
        <f t="shared" si="2"/>
        <v>71</v>
      </c>
      <c r="C72">
        <f t="shared" si="3"/>
        <v>0.82558139534883723</v>
      </c>
    </row>
    <row r="73" spans="1:3" x14ac:dyDescent="0.35">
      <c r="A73">
        <v>17</v>
      </c>
      <c r="B73">
        <f t="shared" si="2"/>
        <v>72</v>
      </c>
      <c r="C73">
        <f t="shared" si="3"/>
        <v>0.83720930232558144</v>
      </c>
    </row>
    <row r="74" spans="1:3" x14ac:dyDescent="0.35">
      <c r="A74">
        <v>20</v>
      </c>
      <c r="B74">
        <f t="shared" si="2"/>
        <v>73</v>
      </c>
      <c r="C74">
        <f t="shared" si="3"/>
        <v>0.84883720930232553</v>
      </c>
    </row>
    <row r="75" spans="1:3" x14ac:dyDescent="0.35">
      <c r="A75">
        <v>20</v>
      </c>
      <c r="B75">
        <f t="shared" si="2"/>
        <v>74</v>
      </c>
      <c r="C75">
        <f t="shared" si="3"/>
        <v>0.86046511627906974</v>
      </c>
    </row>
    <row r="76" spans="1:3" x14ac:dyDescent="0.35">
      <c r="A76">
        <v>22</v>
      </c>
      <c r="B76">
        <f t="shared" si="2"/>
        <v>75</v>
      </c>
      <c r="C76">
        <f t="shared" si="3"/>
        <v>0.87209302325581395</v>
      </c>
    </row>
    <row r="77" spans="1:3" x14ac:dyDescent="0.35">
      <c r="A77">
        <v>27</v>
      </c>
      <c r="B77">
        <f t="shared" si="2"/>
        <v>76</v>
      </c>
      <c r="C77">
        <f t="shared" si="3"/>
        <v>0.88372093023255816</v>
      </c>
    </row>
    <row r="78" spans="1:3" x14ac:dyDescent="0.35">
      <c r="A78">
        <v>32</v>
      </c>
      <c r="B78">
        <f t="shared" si="2"/>
        <v>77</v>
      </c>
      <c r="C78">
        <f t="shared" si="3"/>
        <v>0.89534883720930236</v>
      </c>
    </row>
    <row r="79" spans="1:3" x14ac:dyDescent="0.35">
      <c r="A79">
        <v>35</v>
      </c>
      <c r="B79">
        <f t="shared" si="2"/>
        <v>78</v>
      </c>
      <c r="C79">
        <f t="shared" si="3"/>
        <v>0.90697674418604646</v>
      </c>
    </row>
    <row r="80" spans="1:3" x14ac:dyDescent="0.35">
      <c r="A80">
        <v>35</v>
      </c>
      <c r="B80">
        <f t="shared" si="2"/>
        <v>79</v>
      </c>
      <c r="C80">
        <f t="shared" si="3"/>
        <v>0.91860465116279066</v>
      </c>
    </row>
    <row r="81" spans="1:3" x14ac:dyDescent="0.35">
      <c r="A81">
        <v>76</v>
      </c>
      <c r="B81">
        <f t="shared" si="2"/>
        <v>80</v>
      </c>
      <c r="C81">
        <f t="shared" si="3"/>
        <v>0.93023255813953487</v>
      </c>
    </row>
    <row r="82" spans="1:3" x14ac:dyDescent="0.35">
      <c r="A82">
        <v>118</v>
      </c>
      <c r="B82">
        <f t="shared" si="2"/>
        <v>81</v>
      </c>
      <c r="C82">
        <f t="shared" si="3"/>
        <v>0.94186046511627908</v>
      </c>
    </row>
    <row r="83" spans="1:3" x14ac:dyDescent="0.35">
      <c r="A83">
        <v>118</v>
      </c>
      <c r="B83">
        <f t="shared" si="2"/>
        <v>82</v>
      </c>
      <c r="C83">
        <f t="shared" si="3"/>
        <v>0.95348837209302328</v>
      </c>
    </row>
    <row r="84" spans="1:3" x14ac:dyDescent="0.35">
      <c r="A84">
        <v>148</v>
      </c>
      <c r="B84">
        <f t="shared" si="2"/>
        <v>83</v>
      </c>
      <c r="C84">
        <f t="shared" si="3"/>
        <v>0.96511627906976749</v>
      </c>
    </row>
    <row r="85" spans="1:3" x14ac:dyDescent="0.35">
      <c r="A85">
        <v>170</v>
      </c>
      <c r="B85">
        <f t="shared" si="2"/>
        <v>84</v>
      </c>
      <c r="C85">
        <f t="shared" si="3"/>
        <v>0.97674418604651159</v>
      </c>
    </row>
    <row r="86" spans="1:3" x14ac:dyDescent="0.35">
      <c r="A86">
        <v>263</v>
      </c>
      <c r="B86">
        <f t="shared" si="2"/>
        <v>85</v>
      </c>
      <c r="C86">
        <f t="shared" si="3"/>
        <v>0.98837209302325579</v>
      </c>
    </row>
    <row r="87" spans="1:3" x14ac:dyDescent="0.35">
      <c r="A87">
        <v>329</v>
      </c>
      <c r="B87">
        <f t="shared" si="2"/>
        <v>86</v>
      </c>
      <c r="C87">
        <f t="shared" si="3"/>
        <v>1</v>
      </c>
    </row>
  </sheetData>
  <sortState xmlns:xlrd2="http://schemas.microsoft.com/office/spreadsheetml/2017/richdata2" ref="A2:A88">
    <sortCondition ref="A1:A88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1A5B-B1D0-4A8B-8524-D4776E75DCE6}">
  <dimension ref="A1:C87"/>
  <sheetViews>
    <sheetView workbookViewId="0">
      <selection activeCell="H21" sqref="H21"/>
    </sheetView>
  </sheetViews>
  <sheetFormatPr defaultRowHeight="14.5" x14ac:dyDescent="0.35"/>
  <sheetData>
    <row r="1" spans="1:3" x14ac:dyDescent="0.35">
      <c r="A1" t="s">
        <v>13</v>
      </c>
    </row>
    <row r="2" spans="1:3" x14ac:dyDescent="0.35">
      <c r="A2">
        <v>0</v>
      </c>
      <c r="B2">
        <f>ROW()-1</f>
        <v>1</v>
      </c>
      <c r="C2">
        <f>B2/COUNT($A:$A)</f>
        <v>1.1627906976744186E-2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2.3255813953488372E-2</v>
      </c>
    </row>
    <row r="4" spans="1:3" x14ac:dyDescent="0.35">
      <c r="A4">
        <v>0</v>
      </c>
      <c r="B4">
        <f t="shared" si="0"/>
        <v>3</v>
      </c>
      <c r="C4">
        <f t="shared" si="1"/>
        <v>3.4883720930232558E-2</v>
      </c>
    </row>
    <row r="5" spans="1:3" x14ac:dyDescent="0.35">
      <c r="A5">
        <v>0</v>
      </c>
      <c r="B5">
        <f t="shared" si="0"/>
        <v>4</v>
      </c>
      <c r="C5">
        <f t="shared" si="1"/>
        <v>4.6511627906976744E-2</v>
      </c>
    </row>
    <row r="6" spans="1:3" x14ac:dyDescent="0.35">
      <c r="A6">
        <v>0</v>
      </c>
      <c r="B6">
        <f t="shared" si="0"/>
        <v>5</v>
      </c>
      <c r="C6">
        <f t="shared" si="1"/>
        <v>5.8139534883720929E-2</v>
      </c>
    </row>
    <row r="7" spans="1:3" x14ac:dyDescent="0.35">
      <c r="A7">
        <v>0</v>
      </c>
      <c r="B7">
        <f t="shared" si="0"/>
        <v>6</v>
      </c>
      <c r="C7">
        <f t="shared" si="1"/>
        <v>6.9767441860465115E-2</v>
      </c>
    </row>
    <row r="8" spans="1:3" x14ac:dyDescent="0.35">
      <c r="A8">
        <v>0</v>
      </c>
      <c r="B8">
        <f t="shared" si="0"/>
        <v>7</v>
      </c>
      <c r="C8">
        <f t="shared" si="1"/>
        <v>8.1395348837209308E-2</v>
      </c>
    </row>
    <row r="9" spans="1:3" x14ac:dyDescent="0.35">
      <c r="A9">
        <v>0</v>
      </c>
      <c r="B9">
        <f t="shared" si="0"/>
        <v>8</v>
      </c>
      <c r="C9">
        <f t="shared" si="1"/>
        <v>9.3023255813953487E-2</v>
      </c>
    </row>
    <row r="10" spans="1:3" x14ac:dyDescent="0.35">
      <c r="A10">
        <v>0</v>
      </c>
      <c r="B10">
        <f t="shared" si="0"/>
        <v>9</v>
      </c>
      <c r="C10">
        <f t="shared" si="1"/>
        <v>0.10465116279069768</v>
      </c>
    </row>
    <row r="11" spans="1:3" x14ac:dyDescent="0.35">
      <c r="A11">
        <v>0</v>
      </c>
      <c r="B11">
        <f t="shared" si="0"/>
        <v>10</v>
      </c>
      <c r="C11">
        <f t="shared" si="1"/>
        <v>0.11627906976744186</v>
      </c>
    </row>
    <row r="12" spans="1:3" x14ac:dyDescent="0.35">
      <c r="A12">
        <v>0</v>
      </c>
      <c r="B12">
        <f t="shared" si="0"/>
        <v>11</v>
      </c>
      <c r="C12">
        <f t="shared" si="1"/>
        <v>0.12790697674418605</v>
      </c>
    </row>
    <row r="13" spans="1:3" x14ac:dyDescent="0.35">
      <c r="A13">
        <v>0</v>
      </c>
      <c r="B13">
        <f t="shared" si="0"/>
        <v>12</v>
      </c>
      <c r="C13">
        <f t="shared" si="1"/>
        <v>0.13953488372093023</v>
      </c>
    </row>
    <row r="14" spans="1:3" x14ac:dyDescent="0.35">
      <c r="A14">
        <v>0</v>
      </c>
      <c r="B14">
        <f t="shared" si="0"/>
        <v>13</v>
      </c>
      <c r="C14">
        <f t="shared" si="1"/>
        <v>0.15116279069767441</v>
      </c>
    </row>
    <row r="15" spans="1:3" x14ac:dyDescent="0.35">
      <c r="A15">
        <v>0</v>
      </c>
      <c r="B15">
        <f t="shared" si="0"/>
        <v>14</v>
      </c>
      <c r="C15">
        <f t="shared" si="1"/>
        <v>0.16279069767441862</v>
      </c>
    </row>
    <row r="16" spans="1:3" x14ac:dyDescent="0.35">
      <c r="A16">
        <v>0</v>
      </c>
      <c r="B16">
        <f t="shared" si="0"/>
        <v>15</v>
      </c>
      <c r="C16">
        <f t="shared" si="1"/>
        <v>0.1744186046511628</v>
      </c>
    </row>
    <row r="17" spans="1:3" x14ac:dyDescent="0.35">
      <c r="A17">
        <v>0</v>
      </c>
      <c r="B17">
        <f t="shared" si="0"/>
        <v>16</v>
      </c>
      <c r="C17">
        <f t="shared" si="1"/>
        <v>0.18604651162790697</v>
      </c>
    </row>
    <row r="18" spans="1:3" x14ac:dyDescent="0.35">
      <c r="A18">
        <v>0</v>
      </c>
      <c r="B18">
        <f t="shared" si="0"/>
        <v>17</v>
      </c>
      <c r="C18">
        <f t="shared" si="1"/>
        <v>0.19767441860465115</v>
      </c>
    </row>
    <row r="19" spans="1:3" x14ac:dyDescent="0.35">
      <c r="A19">
        <v>0</v>
      </c>
      <c r="B19">
        <f t="shared" si="0"/>
        <v>18</v>
      </c>
      <c r="C19">
        <f t="shared" si="1"/>
        <v>0.20930232558139536</v>
      </c>
    </row>
    <row r="20" spans="1:3" x14ac:dyDescent="0.35">
      <c r="A20">
        <v>0</v>
      </c>
      <c r="B20">
        <f t="shared" si="0"/>
        <v>19</v>
      </c>
      <c r="C20">
        <f t="shared" si="1"/>
        <v>0.22093023255813954</v>
      </c>
    </row>
    <row r="21" spans="1:3" x14ac:dyDescent="0.35">
      <c r="A21">
        <v>0</v>
      </c>
      <c r="B21">
        <f t="shared" si="0"/>
        <v>20</v>
      </c>
      <c r="C21">
        <f t="shared" si="1"/>
        <v>0.23255813953488372</v>
      </c>
    </row>
    <row r="22" spans="1:3" x14ac:dyDescent="0.35">
      <c r="A22">
        <v>0</v>
      </c>
      <c r="B22">
        <f t="shared" si="0"/>
        <v>21</v>
      </c>
      <c r="C22">
        <f t="shared" si="1"/>
        <v>0.2441860465116279</v>
      </c>
    </row>
    <row r="23" spans="1:3" x14ac:dyDescent="0.35">
      <c r="A23">
        <v>0</v>
      </c>
      <c r="B23">
        <f t="shared" si="0"/>
        <v>22</v>
      </c>
      <c r="C23">
        <f t="shared" si="1"/>
        <v>0.2558139534883721</v>
      </c>
    </row>
    <row r="24" spans="1:3" x14ac:dyDescent="0.35">
      <c r="A24">
        <v>0</v>
      </c>
      <c r="B24">
        <f t="shared" si="0"/>
        <v>23</v>
      </c>
      <c r="C24">
        <f t="shared" si="1"/>
        <v>0.26744186046511625</v>
      </c>
    </row>
    <row r="25" spans="1:3" x14ac:dyDescent="0.35">
      <c r="A25">
        <v>0</v>
      </c>
      <c r="B25">
        <f t="shared" si="0"/>
        <v>24</v>
      </c>
      <c r="C25">
        <f t="shared" si="1"/>
        <v>0.27906976744186046</v>
      </c>
    </row>
    <row r="26" spans="1:3" x14ac:dyDescent="0.35">
      <c r="A26">
        <v>0</v>
      </c>
      <c r="B26">
        <f t="shared" si="0"/>
        <v>25</v>
      </c>
      <c r="C26">
        <f t="shared" si="1"/>
        <v>0.29069767441860467</v>
      </c>
    </row>
    <row r="27" spans="1:3" x14ac:dyDescent="0.35">
      <c r="A27">
        <v>0</v>
      </c>
      <c r="B27">
        <f t="shared" si="0"/>
        <v>26</v>
      </c>
      <c r="C27">
        <f t="shared" si="1"/>
        <v>0.30232558139534882</v>
      </c>
    </row>
    <row r="28" spans="1:3" x14ac:dyDescent="0.35">
      <c r="A28">
        <v>0</v>
      </c>
      <c r="B28">
        <f t="shared" si="0"/>
        <v>27</v>
      </c>
      <c r="C28">
        <f t="shared" si="1"/>
        <v>0.31395348837209303</v>
      </c>
    </row>
    <row r="29" spans="1:3" x14ac:dyDescent="0.35">
      <c r="A29">
        <v>0</v>
      </c>
      <c r="B29">
        <f t="shared" si="0"/>
        <v>28</v>
      </c>
      <c r="C29">
        <f t="shared" si="1"/>
        <v>0.32558139534883723</v>
      </c>
    </row>
    <row r="30" spans="1:3" x14ac:dyDescent="0.35">
      <c r="A30">
        <v>0</v>
      </c>
      <c r="B30">
        <f t="shared" si="0"/>
        <v>29</v>
      </c>
      <c r="C30">
        <f t="shared" si="1"/>
        <v>0.33720930232558138</v>
      </c>
    </row>
    <row r="31" spans="1:3" x14ac:dyDescent="0.35">
      <c r="A31">
        <v>0</v>
      </c>
      <c r="B31">
        <f t="shared" si="0"/>
        <v>30</v>
      </c>
      <c r="C31">
        <f t="shared" si="1"/>
        <v>0.34883720930232559</v>
      </c>
    </row>
    <row r="32" spans="1:3" x14ac:dyDescent="0.35">
      <c r="A32">
        <v>0</v>
      </c>
      <c r="B32">
        <f t="shared" si="0"/>
        <v>31</v>
      </c>
      <c r="C32">
        <f t="shared" si="1"/>
        <v>0.36046511627906974</v>
      </c>
    </row>
    <row r="33" spans="1:3" x14ac:dyDescent="0.35">
      <c r="A33">
        <v>0</v>
      </c>
      <c r="B33">
        <f t="shared" si="0"/>
        <v>32</v>
      </c>
      <c r="C33">
        <f t="shared" si="1"/>
        <v>0.37209302325581395</v>
      </c>
    </row>
    <row r="34" spans="1:3" x14ac:dyDescent="0.35">
      <c r="A34">
        <v>0</v>
      </c>
      <c r="B34">
        <f t="shared" si="0"/>
        <v>33</v>
      </c>
      <c r="C34">
        <f t="shared" si="1"/>
        <v>0.38372093023255816</v>
      </c>
    </row>
    <row r="35" spans="1:3" x14ac:dyDescent="0.35">
      <c r="A35">
        <v>0</v>
      </c>
      <c r="B35">
        <f t="shared" si="0"/>
        <v>34</v>
      </c>
      <c r="C35">
        <f t="shared" si="1"/>
        <v>0.39534883720930231</v>
      </c>
    </row>
    <row r="36" spans="1:3" x14ac:dyDescent="0.35">
      <c r="A36">
        <v>0</v>
      </c>
      <c r="B36">
        <f t="shared" si="0"/>
        <v>35</v>
      </c>
      <c r="C36">
        <f t="shared" si="1"/>
        <v>0.40697674418604651</v>
      </c>
    </row>
    <row r="37" spans="1:3" x14ac:dyDescent="0.35">
      <c r="A37">
        <v>0</v>
      </c>
      <c r="B37">
        <f t="shared" si="0"/>
        <v>36</v>
      </c>
      <c r="C37">
        <f t="shared" si="1"/>
        <v>0.41860465116279072</v>
      </c>
    </row>
    <row r="38" spans="1:3" x14ac:dyDescent="0.35">
      <c r="A38">
        <v>0</v>
      </c>
      <c r="B38">
        <f t="shared" si="0"/>
        <v>37</v>
      </c>
      <c r="C38">
        <f t="shared" si="1"/>
        <v>0.43023255813953487</v>
      </c>
    </row>
    <row r="39" spans="1:3" x14ac:dyDescent="0.35">
      <c r="A39">
        <v>0</v>
      </c>
      <c r="B39">
        <f t="shared" si="0"/>
        <v>38</v>
      </c>
      <c r="C39">
        <f t="shared" si="1"/>
        <v>0.44186046511627908</v>
      </c>
    </row>
    <row r="40" spans="1:3" x14ac:dyDescent="0.35">
      <c r="A40">
        <v>0</v>
      </c>
      <c r="B40">
        <f t="shared" si="0"/>
        <v>39</v>
      </c>
      <c r="C40">
        <f t="shared" si="1"/>
        <v>0.45348837209302323</v>
      </c>
    </row>
    <row r="41" spans="1:3" x14ac:dyDescent="0.35">
      <c r="A41">
        <v>0</v>
      </c>
      <c r="B41">
        <f t="shared" si="0"/>
        <v>40</v>
      </c>
      <c r="C41">
        <f t="shared" si="1"/>
        <v>0.46511627906976744</v>
      </c>
    </row>
    <row r="42" spans="1:3" x14ac:dyDescent="0.35">
      <c r="A42">
        <v>0</v>
      </c>
      <c r="B42">
        <f t="shared" si="0"/>
        <v>41</v>
      </c>
      <c r="C42">
        <f t="shared" si="1"/>
        <v>0.47674418604651164</v>
      </c>
    </row>
    <row r="43" spans="1:3" x14ac:dyDescent="0.35">
      <c r="A43">
        <v>0</v>
      </c>
      <c r="B43">
        <f t="shared" si="0"/>
        <v>42</v>
      </c>
      <c r="C43">
        <f t="shared" si="1"/>
        <v>0.48837209302325579</v>
      </c>
    </row>
    <row r="44" spans="1:3" x14ac:dyDescent="0.35">
      <c r="A44">
        <v>0</v>
      </c>
      <c r="B44">
        <f t="shared" si="0"/>
        <v>43</v>
      </c>
      <c r="C44">
        <f t="shared" si="1"/>
        <v>0.5</v>
      </c>
    </row>
    <row r="45" spans="1:3" x14ac:dyDescent="0.35">
      <c r="A45">
        <v>0</v>
      </c>
      <c r="B45">
        <f t="shared" si="0"/>
        <v>44</v>
      </c>
      <c r="C45">
        <f t="shared" si="1"/>
        <v>0.51162790697674421</v>
      </c>
    </row>
    <row r="46" spans="1:3" x14ac:dyDescent="0.35">
      <c r="A46">
        <v>0</v>
      </c>
      <c r="B46">
        <f t="shared" si="0"/>
        <v>45</v>
      </c>
      <c r="C46">
        <f t="shared" si="1"/>
        <v>0.52325581395348841</v>
      </c>
    </row>
    <row r="47" spans="1:3" x14ac:dyDescent="0.35">
      <c r="A47">
        <v>0</v>
      </c>
      <c r="B47">
        <f t="shared" si="0"/>
        <v>46</v>
      </c>
      <c r="C47">
        <f t="shared" si="1"/>
        <v>0.53488372093023251</v>
      </c>
    </row>
    <row r="48" spans="1:3" x14ac:dyDescent="0.35">
      <c r="A48">
        <v>0</v>
      </c>
      <c r="B48">
        <f t="shared" si="0"/>
        <v>47</v>
      </c>
      <c r="C48">
        <f t="shared" si="1"/>
        <v>0.54651162790697672</v>
      </c>
    </row>
    <row r="49" spans="1:3" x14ac:dyDescent="0.35">
      <c r="A49">
        <v>0</v>
      </c>
      <c r="B49">
        <f t="shared" si="0"/>
        <v>48</v>
      </c>
      <c r="C49">
        <f t="shared" si="1"/>
        <v>0.55813953488372092</v>
      </c>
    </row>
    <row r="50" spans="1:3" x14ac:dyDescent="0.35">
      <c r="A50">
        <v>0</v>
      </c>
      <c r="B50">
        <f t="shared" si="0"/>
        <v>49</v>
      </c>
      <c r="C50">
        <f t="shared" si="1"/>
        <v>0.56976744186046513</v>
      </c>
    </row>
    <row r="51" spans="1:3" x14ac:dyDescent="0.35">
      <c r="A51">
        <v>0</v>
      </c>
      <c r="B51">
        <f t="shared" si="0"/>
        <v>50</v>
      </c>
      <c r="C51">
        <f t="shared" si="1"/>
        <v>0.58139534883720934</v>
      </c>
    </row>
    <row r="52" spans="1:3" x14ac:dyDescent="0.35">
      <c r="A52">
        <v>0</v>
      </c>
      <c r="B52">
        <f t="shared" si="0"/>
        <v>51</v>
      </c>
      <c r="C52">
        <f t="shared" si="1"/>
        <v>0.59302325581395354</v>
      </c>
    </row>
    <row r="53" spans="1:3" x14ac:dyDescent="0.35">
      <c r="A53">
        <v>0</v>
      </c>
      <c r="B53">
        <f t="shared" si="0"/>
        <v>52</v>
      </c>
      <c r="C53">
        <f t="shared" si="1"/>
        <v>0.60465116279069764</v>
      </c>
    </row>
    <row r="54" spans="1:3" x14ac:dyDescent="0.35">
      <c r="A54">
        <v>0</v>
      </c>
      <c r="B54">
        <f t="shared" si="0"/>
        <v>53</v>
      </c>
      <c r="C54">
        <f t="shared" si="1"/>
        <v>0.61627906976744184</v>
      </c>
    </row>
    <row r="55" spans="1:3" x14ac:dyDescent="0.35">
      <c r="A55">
        <v>0</v>
      </c>
      <c r="B55">
        <f t="shared" si="0"/>
        <v>54</v>
      </c>
      <c r="C55">
        <f t="shared" si="1"/>
        <v>0.62790697674418605</v>
      </c>
    </row>
    <row r="56" spans="1:3" x14ac:dyDescent="0.35">
      <c r="A56">
        <v>0</v>
      </c>
      <c r="B56">
        <f t="shared" si="0"/>
        <v>55</v>
      </c>
      <c r="C56">
        <f t="shared" si="1"/>
        <v>0.63953488372093026</v>
      </c>
    </row>
    <row r="57" spans="1:3" x14ac:dyDescent="0.35">
      <c r="A57">
        <v>0</v>
      </c>
      <c r="B57">
        <f t="shared" si="0"/>
        <v>56</v>
      </c>
      <c r="C57">
        <f t="shared" si="1"/>
        <v>0.65116279069767447</v>
      </c>
    </row>
    <row r="58" spans="1:3" x14ac:dyDescent="0.35">
      <c r="A58">
        <v>0</v>
      </c>
      <c r="B58">
        <f t="shared" si="0"/>
        <v>57</v>
      </c>
      <c r="C58">
        <f t="shared" si="1"/>
        <v>0.66279069767441856</v>
      </c>
    </row>
    <row r="59" spans="1:3" x14ac:dyDescent="0.35">
      <c r="A59">
        <v>0</v>
      </c>
      <c r="B59">
        <f t="shared" si="0"/>
        <v>58</v>
      </c>
      <c r="C59">
        <f t="shared" si="1"/>
        <v>0.67441860465116277</v>
      </c>
    </row>
    <row r="60" spans="1:3" x14ac:dyDescent="0.35">
      <c r="A60">
        <v>0</v>
      </c>
      <c r="B60">
        <f t="shared" si="0"/>
        <v>59</v>
      </c>
      <c r="C60">
        <f t="shared" si="1"/>
        <v>0.68604651162790697</v>
      </c>
    </row>
    <row r="61" spans="1:3" x14ac:dyDescent="0.35">
      <c r="A61">
        <v>0</v>
      </c>
      <c r="B61">
        <f t="shared" si="0"/>
        <v>60</v>
      </c>
      <c r="C61">
        <f t="shared" si="1"/>
        <v>0.69767441860465118</v>
      </c>
    </row>
    <row r="62" spans="1:3" x14ac:dyDescent="0.35">
      <c r="A62">
        <v>0</v>
      </c>
      <c r="B62">
        <f t="shared" si="0"/>
        <v>61</v>
      </c>
      <c r="C62">
        <f t="shared" si="1"/>
        <v>0.70930232558139539</v>
      </c>
    </row>
    <row r="63" spans="1:3" x14ac:dyDescent="0.35">
      <c r="A63">
        <v>0</v>
      </c>
      <c r="B63">
        <f t="shared" si="0"/>
        <v>62</v>
      </c>
      <c r="C63">
        <f t="shared" si="1"/>
        <v>0.72093023255813948</v>
      </c>
    </row>
    <row r="64" spans="1:3" x14ac:dyDescent="0.35">
      <c r="A64">
        <v>0</v>
      </c>
      <c r="B64">
        <f t="shared" si="0"/>
        <v>63</v>
      </c>
      <c r="C64">
        <f t="shared" si="1"/>
        <v>0.73255813953488369</v>
      </c>
    </row>
    <row r="65" spans="1:3" x14ac:dyDescent="0.35">
      <c r="A65">
        <v>0</v>
      </c>
      <c r="B65">
        <f t="shared" si="0"/>
        <v>64</v>
      </c>
      <c r="C65">
        <f t="shared" si="1"/>
        <v>0.7441860465116279</v>
      </c>
    </row>
    <row r="66" spans="1:3" x14ac:dyDescent="0.35">
      <c r="A66">
        <v>0</v>
      </c>
      <c r="B66">
        <f t="shared" si="0"/>
        <v>65</v>
      </c>
      <c r="C66">
        <f t="shared" si="1"/>
        <v>0.7558139534883721</v>
      </c>
    </row>
    <row r="67" spans="1:3" x14ac:dyDescent="0.35">
      <c r="A67">
        <v>0</v>
      </c>
      <c r="B67">
        <f t="shared" ref="B67:B87" si="2">ROW()-1</f>
        <v>66</v>
      </c>
      <c r="C67">
        <f t="shared" ref="C67:C87" si="3">B67/COUNT($A:$A)</f>
        <v>0.76744186046511631</v>
      </c>
    </row>
    <row r="68" spans="1:3" x14ac:dyDescent="0.35">
      <c r="A68">
        <v>0</v>
      </c>
      <c r="B68">
        <f t="shared" si="2"/>
        <v>67</v>
      </c>
      <c r="C68">
        <f t="shared" si="3"/>
        <v>0.77906976744186052</v>
      </c>
    </row>
    <row r="69" spans="1:3" x14ac:dyDescent="0.35">
      <c r="A69">
        <v>0</v>
      </c>
      <c r="B69">
        <f t="shared" si="2"/>
        <v>68</v>
      </c>
      <c r="C69">
        <f t="shared" si="3"/>
        <v>0.79069767441860461</v>
      </c>
    </row>
    <row r="70" spans="1:3" x14ac:dyDescent="0.35">
      <c r="A70">
        <v>0</v>
      </c>
      <c r="B70">
        <f t="shared" si="2"/>
        <v>69</v>
      </c>
      <c r="C70">
        <f t="shared" si="3"/>
        <v>0.80232558139534882</v>
      </c>
    </row>
    <row r="71" spans="1:3" x14ac:dyDescent="0.35">
      <c r="A71">
        <v>0</v>
      </c>
      <c r="B71">
        <f t="shared" si="2"/>
        <v>70</v>
      </c>
      <c r="C71">
        <f t="shared" si="3"/>
        <v>0.81395348837209303</v>
      </c>
    </row>
    <row r="72" spans="1:3" x14ac:dyDescent="0.35">
      <c r="A72">
        <v>0</v>
      </c>
      <c r="B72">
        <f t="shared" si="2"/>
        <v>71</v>
      </c>
      <c r="C72">
        <f t="shared" si="3"/>
        <v>0.82558139534883723</v>
      </c>
    </row>
    <row r="73" spans="1:3" x14ac:dyDescent="0.35">
      <c r="A73">
        <v>0</v>
      </c>
      <c r="B73">
        <f t="shared" si="2"/>
        <v>72</v>
      </c>
      <c r="C73">
        <f t="shared" si="3"/>
        <v>0.83720930232558144</v>
      </c>
    </row>
    <row r="74" spans="1:3" x14ac:dyDescent="0.35">
      <c r="A74">
        <v>0</v>
      </c>
      <c r="B74">
        <f t="shared" si="2"/>
        <v>73</v>
      </c>
      <c r="C74">
        <f t="shared" si="3"/>
        <v>0.84883720930232553</v>
      </c>
    </row>
    <row r="75" spans="1:3" x14ac:dyDescent="0.35">
      <c r="A75">
        <v>0</v>
      </c>
      <c r="B75">
        <f t="shared" si="2"/>
        <v>74</v>
      </c>
      <c r="C75">
        <f t="shared" si="3"/>
        <v>0.86046511627906974</v>
      </c>
    </row>
    <row r="76" spans="1:3" x14ac:dyDescent="0.35">
      <c r="A76">
        <v>0</v>
      </c>
      <c r="B76">
        <f t="shared" si="2"/>
        <v>75</v>
      </c>
      <c r="C76">
        <f t="shared" si="3"/>
        <v>0.87209302325581395</v>
      </c>
    </row>
    <row r="77" spans="1:3" x14ac:dyDescent="0.35">
      <c r="A77">
        <v>0</v>
      </c>
      <c r="B77">
        <f t="shared" si="2"/>
        <v>76</v>
      </c>
      <c r="C77">
        <f t="shared" si="3"/>
        <v>0.88372093023255816</v>
      </c>
    </row>
    <row r="78" spans="1:3" x14ac:dyDescent="0.35">
      <c r="A78">
        <v>0</v>
      </c>
      <c r="B78">
        <f t="shared" si="2"/>
        <v>77</v>
      </c>
      <c r="C78">
        <f t="shared" si="3"/>
        <v>0.89534883720930236</v>
      </c>
    </row>
    <row r="79" spans="1:3" x14ac:dyDescent="0.35">
      <c r="A79">
        <v>0</v>
      </c>
      <c r="B79">
        <f t="shared" si="2"/>
        <v>78</v>
      </c>
      <c r="C79">
        <f t="shared" si="3"/>
        <v>0.90697674418604646</v>
      </c>
    </row>
    <row r="80" spans="1:3" x14ac:dyDescent="0.35">
      <c r="A80">
        <v>0</v>
      </c>
      <c r="B80">
        <f t="shared" si="2"/>
        <v>79</v>
      </c>
      <c r="C80">
        <f t="shared" si="3"/>
        <v>0.91860465116279066</v>
      </c>
    </row>
    <row r="81" spans="1:3" x14ac:dyDescent="0.35">
      <c r="A81">
        <v>0</v>
      </c>
      <c r="B81">
        <f t="shared" si="2"/>
        <v>80</v>
      </c>
      <c r="C81">
        <f t="shared" si="3"/>
        <v>0.93023255813953487</v>
      </c>
    </row>
    <row r="82" spans="1:3" x14ac:dyDescent="0.35">
      <c r="A82">
        <v>0</v>
      </c>
      <c r="B82">
        <f t="shared" si="2"/>
        <v>81</v>
      </c>
      <c r="C82">
        <f t="shared" si="3"/>
        <v>0.94186046511627908</v>
      </c>
    </row>
    <row r="83" spans="1:3" x14ac:dyDescent="0.35">
      <c r="A83">
        <v>0</v>
      </c>
      <c r="B83">
        <f t="shared" si="2"/>
        <v>82</v>
      </c>
      <c r="C83">
        <f t="shared" si="3"/>
        <v>0.95348837209302328</v>
      </c>
    </row>
    <row r="84" spans="1:3" x14ac:dyDescent="0.35">
      <c r="A84">
        <v>0</v>
      </c>
      <c r="B84">
        <f t="shared" si="2"/>
        <v>83</v>
      </c>
      <c r="C84">
        <f t="shared" si="3"/>
        <v>0.96511627906976749</v>
      </c>
    </row>
    <row r="85" spans="1:3" x14ac:dyDescent="0.35">
      <c r="A85">
        <v>0</v>
      </c>
      <c r="B85">
        <f t="shared" si="2"/>
        <v>84</v>
      </c>
      <c r="C85">
        <f t="shared" si="3"/>
        <v>0.97674418604651159</v>
      </c>
    </row>
    <row r="86" spans="1:3" x14ac:dyDescent="0.35">
      <c r="A86">
        <v>0</v>
      </c>
      <c r="B86">
        <f t="shared" si="2"/>
        <v>85</v>
      </c>
      <c r="C86">
        <f t="shared" si="3"/>
        <v>0.98837209302325579</v>
      </c>
    </row>
    <row r="87" spans="1:3" x14ac:dyDescent="0.35">
      <c r="A87">
        <v>0</v>
      </c>
      <c r="B87">
        <f t="shared" si="2"/>
        <v>86</v>
      </c>
      <c r="C87">
        <f t="shared" si="3"/>
        <v>1</v>
      </c>
    </row>
  </sheetData>
  <sortState xmlns:xlrd2="http://schemas.microsoft.com/office/spreadsheetml/2017/richdata2" ref="A2:A88">
    <sortCondition ref="A1:A88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DA61-CD52-4B53-BA61-07D7E56BD995}">
  <dimension ref="A1:C87"/>
  <sheetViews>
    <sheetView workbookViewId="0">
      <selection activeCell="I21" sqref="I21"/>
    </sheetView>
  </sheetViews>
  <sheetFormatPr defaultRowHeight="14.5" x14ac:dyDescent="0.35"/>
  <sheetData>
    <row r="1" spans="1:3" x14ac:dyDescent="0.35">
      <c r="A1" t="s">
        <v>6</v>
      </c>
    </row>
    <row r="2" spans="1:3" x14ac:dyDescent="0.35">
      <c r="A2">
        <v>0</v>
      </c>
      <c r="B2">
        <f>ROW()-1</f>
        <v>1</v>
      </c>
      <c r="C2">
        <f t="shared" ref="C2:C33" si="0">B3/COUNT($A:$A)</f>
        <v>2.3255813953488372E-2</v>
      </c>
    </row>
    <row r="3" spans="1:3" x14ac:dyDescent="0.35">
      <c r="A3">
        <v>0</v>
      </c>
      <c r="B3">
        <f t="shared" ref="B3:B66" si="1">ROW()-1</f>
        <v>2</v>
      </c>
      <c r="C3">
        <f t="shared" si="0"/>
        <v>3.4883720930232558E-2</v>
      </c>
    </row>
    <row r="4" spans="1:3" x14ac:dyDescent="0.35">
      <c r="A4">
        <v>0</v>
      </c>
      <c r="B4">
        <f t="shared" si="1"/>
        <v>3</v>
      </c>
      <c r="C4">
        <f t="shared" si="0"/>
        <v>4.6511627906976744E-2</v>
      </c>
    </row>
    <row r="5" spans="1:3" x14ac:dyDescent="0.35">
      <c r="A5">
        <v>1</v>
      </c>
      <c r="B5">
        <f t="shared" si="1"/>
        <v>4</v>
      </c>
      <c r="C5">
        <f t="shared" si="0"/>
        <v>5.8139534883720929E-2</v>
      </c>
    </row>
    <row r="6" spans="1:3" x14ac:dyDescent="0.35">
      <c r="A6">
        <v>1</v>
      </c>
      <c r="B6">
        <f t="shared" si="1"/>
        <v>5</v>
      </c>
      <c r="C6">
        <f t="shared" si="0"/>
        <v>6.9767441860465115E-2</v>
      </c>
    </row>
    <row r="7" spans="1:3" x14ac:dyDescent="0.35">
      <c r="A7">
        <v>1</v>
      </c>
      <c r="B7">
        <f t="shared" si="1"/>
        <v>6</v>
      </c>
      <c r="C7">
        <f t="shared" si="0"/>
        <v>8.1395348837209308E-2</v>
      </c>
    </row>
    <row r="8" spans="1:3" x14ac:dyDescent="0.35">
      <c r="A8">
        <v>1</v>
      </c>
      <c r="B8">
        <f t="shared" si="1"/>
        <v>7</v>
      </c>
      <c r="C8">
        <f t="shared" si="0"/>
        <v>9.3023255813953487E-2</v>
      </c>
    </row>
    <row r="9" spans="1:3" x14ac:dyDescent="0.35">
      <c r="A9">
        <v>1</v>
      </c>
      <c r="B9">
        <f t="shared" si="1"/>
        <v>8</v>
      </c>
      <c r="C9">
        <f t="shared" si="0"/>
        <v>0.10465116279069768</v>
      </c>
    </row>
    <row r="10" spans="1:3" x14ac:dyDescent="0.35">
      <c r="A10">
        <v>1</v>
      </c>
      <c r="B10">
        <f t="shared" si="1"/>
        <v>9</v>
      </c>
      <c r="C10">
        <f t="shared" si="0"/>
        <v>0.11627906976744186</v>
      </c>
    </row>
    <row r="11" spans="1:3" x14ac:dyDescent="0.35">
      <c r="A11">
        <v>1</v>
      </c>
      <c r="B11">
        <f t="shared" si="1"/>
        <v>10</v>
      </c>
      <c r="C11">
        <f t="shared" si="0"/>
        <v>0.12790697674418605</v>
      </c>
    </row>
    <row r="12" spans="1:3" x14ac:dyDescent="0.35">
      <c r="A12">
        <v>1</v>
      </c>
      <c r="B12">
        <f t="shared" si="1"/>
        <v>11</v>
      </c>
      <c r="C12">
        <f t="shared" si="0"/>
        <v>0.13953488372093023</v>
      </c>
    </row>
    <row r="13" spans="1:3" x14ac:dyDescent="0.35">
      <c r="A13">
        <v>1</v>
      </c>
      <c r="B13">
        <f t="shared" si="1"/>
        <v>12</v>
      </c>
      <c r="C13">
        <f t="shared" si="0"/>
        <v>0.15116279069767441</v>
      </c>
    </row>
    <row r="14" spans="1:3" x14ac:dyDescent="0.35">
      <c r="A14">
        <v>1</v>
      </c>
      <c r="B14">
        <f t="shared" si="1"/>
        <v>13</v>
      </c>
      <c r="C14">
        <f t="shared" si="0"/>
        <v>0.16279069767441862</v>
      </c>
    </row>
    <row r="15" spans="1:3" x14ac:dyDescent="0.35">
      <c r="A15">
        <v>1</v>
      </c>
      <c r="B15">
        <f t="shared" si="1"/>
        <v>14</v>
      </c>
      <c r="C15">
        <f t="shared" si="0"/>
        <v>0.1744186046511628</v>
      </c>
    </row>
    <row r="16" spans="1:3" x14ac:dyDescent="0.35">
      <c r="A16">
        <v>1</v>
      </c>
      <c r="B16">
        <f t="shared" si="1"/>
        <v>15</v>
      </c>
      <c r="C16">
        <f t="shared" si="0"/>
        <v>0.18604651162790697</v>
      </c>
    </row>
    <row r="17" spans="1:3" x14ac:dyDescent="0.35">
      <c r="A17">
        <v>1</v>
      </c>
      <c r="B17">
        <f t="shared" si="1"/>
        <v>16</v>
      </c>
      <c r="C17">
        <f t="shared" si="0"/>
        <v>0.19767441860465115</v>
      </c>
    </row>
    <row r="18" spans="1:3" x14ac:dyDescent="0.35">
      <c r="A18">
        <v>1</v>
      </c>
      <c r="B18">
        <f t="shared" si="1"/>
        <v>17</v>
      </c>
      <c r="C18">
        <f t="shared" si="0"/>
        <v>0.20930232558139536</v>
      </c>
    </row>
    <row r="19" spans="1:3" x14ac:dyDescent="0.35">
      <c r="A19">
        <v>1</v>
      </c>
      <c r="B19">
        <f t="shared" si="1"/>
        <v>18</v>
      </c>
      <c r="C19">
        <f t="shared" si="0"/>
        <v>0.22093023255813954</v>
      </c>
    </row>
    <row r="20" spans="1:3" x14ac:dyDescent="0.35">
      <c r="A20">
        <v>1</v>
      </c>
      <c r="B20">
        <f t="shared" si="1"/>
        <v>19</v>
      </c>
      <c r="C20">
        <f t="shared" si="0"/>
        <v>0.23255813953488372</v>
      </c>
    </row>
    <row r="21" spans="1:3" x14ac:dyDescent="0.35">
      <c r="A21">
        <v>1</v>
      </c>
      <c r="B21">
        <f t="shared" si="1"/>
        <v>20</v>
      </c>
      <c r="C21">
        <f t="shared" si="0"/>
        <v>0.2441860465116279</v>
      </c>
    </row>
    <row r="22" spans="1:3" x14ac:dyDescent="0.35">
      <c r="A22">
        <v>1</v>
      </c>
      <c r="B22">
        <f t="shared" si="1"/>
        <v>21</v>
      </c>
      <c r="C22">
        <f t="shared" si="0"/>
        <v>0.2558139534883721</v>
      </c>
    </row>
    <row r="23" spans="1:3" x14ac:dyDescent="0.35">
      <c r="A23">
        <v>1</v>
      </c>
      <c r="B23">
        <f t="shared" si="1"/>
        <v>22</v>
      </c>
      <c r="C23">
        <f t="shared" si="0"/>
        <v>0.26744186046511625</v>
      </c>
    </row>
    <row r="24" spans="1:3" x14ac:dyDescent="0.35">
      <c r="A24">
        <v>1</v>
      </c>
      <c r="B24">
        <f t="shared" si="1"/>
        <v>23</v>
      </c>
      <c r="C24">
        <f t="shared" si="0"/>
        <v>0.27906976744186046</v>
      </c>
    </row>
    <row r="25" spans="1:3" x14ac:dyDescent="0.35">
      <c r="A25">
        <v>1</v>
      </c>
      <c r="B25">
        <f t="shared" si="1"/>
        <v>24</v>
      </c>
      <c r="C25">
        <f t="shared" si="0"/>
        <v>0.29069767441860467</v>
      </c>
    </row>
    <row r="26" spans="1:3" x14ac:dyDescent="0.35">
      <c r="A26">
        <v>1</v>
      </c>
      <c r="B26">
        <f t="shared" si="1"/>
        <v>25</v>
      </c>
      <c r="C26">
        <f t="shared" si="0"/>
        <v>0.30232558139534882</v>
      </c>
    </row>
    <row r="27" spans="1:3" x14ac:dyDescent="0.35">
      <c r="A27">
        <v>1</v>
      </c>
      <c r="B27">
        <f t="shared" si="1"/>
        <v>26</v>
      </c>
      <c r="C27">
        <f t="shared" si="0"/>
        <v>0.31395348837209303</v>
      </c>
    </row>
    <row r="28" spans="1:3" x14ac:dyDescent="0.35">
      <c r="A28">
        <v>1</v>
      </c>
      <c r="B28">
        <f t="shared" si="1"/>
        <v>27</v>
      </c>
      <c r="C28">
        <f t="shared" si="0"/>
        <v>0.32558139534883723</v>
      </c>
    </row>
    <row r="29" spans="1:3" x14ac:dyDescent="0.35">
      <c r="A29">
        <v>2</v>
      </c>
      <c r="B29">
        <f t="shared" si="1"/>
        <v>28</v>
      </c>
      <c r="C29">
        <f t="shared" si="0"/>
        <v>0.33720930232558138</v>
      </c>
    </row>
    <row r="30" spans="1:3" x14ac:dyDescent="0.35">
      <c r="A30">
        <v>2</v>
      </c>
      <c r="B30">
        <f t="shared" si="1"/>
        <v>29</v>
      </c>
      <c r="C30">
        <f t="shared" si="0"/>
        <v>0.34883720930232559</v>
      </c>
    </row>
    <row r="31" spans="1:3" x14ac:dyDescent="0.35">
      <c r="A31">
        <v>2</v>
      </c>
      <c r="B31">
        <f t="shared" si="1"/>
        <v>30</v>
      </c>
      <c r="C31">
        <f t="shared" si="0"/>
        <v>0.36046511627906974</v>
      </c>
    </row>
    <row r="32" spans="1:3" x14ac:dyDescent="0.35">
      <c r="A32">
        <v>2</v>
      </c>
      <c r="B32">
        <f t="shared" si="1"/>
        <v>31</v>
      </c>
      <c r="C32">
        <f t="shared" si="0"/>
        <v>0.37209302325581395</v>
      </c>
    </row>
    <row r="33" spans="1:3" x14ac:dyDescent="0.35">
      <c r="A33">
        <v>2</v>
      </c>
      <c r="B33">
        <f t="shared" si="1"/>
        <v>32</v>
      </c>
      <c r="C33">
        <f t="shared" si="0"/>
        <v>0.38372093023255816</v>
      </c>
    </row>
    <row r="34" spans="1:3" x14ac:dyDescent="0.35">
      <c r="A34">
        <v>2</v>
      </c>
      <c r="B34">
        <f t="shared" si="1"/>
        <v>33</v>
      </c>
      <c r="C34">
        <f t="shared" ref="C34:C65" si="2">B35/COUNT($A:$A)</f>
        <v>0.39534883720930231</v>
      </c>
    </row>
    <row r="35" spans="1:3" x14ac:dyDescent="0.35">
      <c r="A35">
        <v>2</v>
      </c>
      <c r="B35">
        <f t="shared" si="1"/>
        <v>34</v>
      </c>
      <c r="C35">
        <f t="shared" si="2"/>
        <v>0.40697674418604651</v>
      </c>
    </row>
    <row r="36" spans="1:3" x14ac:dyDescent="0.35">
      <c r="A36">
        <v>2</v>
      </c>
      <c r="B36">
        <f t="shared" si="1"/>
        <v>35</v>
      </c>
      <c r="C36">
        <f t="shared" si="2"/>
        <v>0.41860465116279072</v>
      </c>
    </row>
    <row r="37" spans="1:3" x14ac:dyDescent="0.35">
      <c r="A37">
        <v>2</v>
      </c>
      <c r="B37">
        <f t="shared" si="1"/>
        <v>36</v>
      </c>
      <c r="C37">
        <f t="shared" si="2"/>
        <v>0.43023255813953487</v>
      </c>
    </row>
    <row r="38" spans="1:3" x14ac:dyDescent="0.35">
      <c r="A38">
        <v>2</v>
      </c>
      <c r="B38">
        <f t="shared" si="1"/>
        <v>37</v>
      </c>
      <c r="C38">
        <f t="shared" si="2"/>
        <v>0.44186046511627908</v>
      </c>
    </row>
    <row r="39" spans="1:3" x14ac:dyDescent="0.35">
      <c r="A39">
        <v>2</v>
      </c>
      <c r="B39">
        <f t="shared" si="1"/>
        <v>38</v>
      </c>
      <c r="C39">
        <f t="shared" si="2"/>
        <v>0.45348837209302323</v>
      </c>
    </row>
    <row r="40" spans="1:3" x14ac:dyDescent="0.35">
      <c r="A40">
        <v>2</v>
      </c>
      <c r="B40">
        <f t="shared" si="1"/>
        <v>39</v>
      </c>
      <c r="C40">
        <f t="shared" si="2"/>
        <v>0.46511627906976744</v>
      </c>
    </row>
    <row r="41" spans="1:3" x14ac:dyDescent="0.35">
      <c r="A41">
        <v>3</v>
      </c>
      <c r="B41">
        <f t="shared" si="1"/>
        <v>40</v>
      </c>
      <c r="C41">
        <f t="shared" si="2"/>
        <v>0.47674418604651164</v>
      </c>
    </row>
    <row r="42" spans="1:3" x14ac:dyDescent="0.35">
      <c r="A42">
        <v>3</v>
      </c>
      <c r="B42">
        <f t="shared" si="1"/>
        <v>41</v>
      </c>
      <c r="C42">
        <f t="shared" si="2"/>
        <v>0.48837209302325579</v>
      </c>
    </row>
    <row r="43" spans="1:3" x14ac:dyDescent="0.35">
      <c r="A43">
        <v>3</v>
      </c>
      <c r="B43">
        <f t="shared" si="1"/>
        <v>42</v>
      </c>
      <c r="C43">
        <f t="shared" si="2"/>
        <v>0.5</v>
      </c>
    </row>
    <row r="44" spans="1:3" x14ac:dyDescent="0.35">
      <c r="A44">
        <v>3</v>
      </c>
      <c r="B44">
        <f t="shared" si="1"/>
        <v>43</v>
      </c>
      <c r="C44">
        <f t="shared" si="2"/>
        <v>0.51162790697674421</v>
      </c>
    </row>
    <row r="45" spans="1:3" x14ac:dyDescent="0.35">
      <c r="A45">
        <v>3</v>
      </c>
      <c r="B45">
        <f t="shared" si="1"/>
        <v>44</v>
      </c>
      <c r="C45">
        <f t="shared" si="2"/>
        <v>0.52325581395348841</v>
      </c>
    </row>
    <row r="46" spans="1:3" x14ac:dyDescent="0.35">
      <c r="A46">
        <v>3</v>
      </c>
      <c r="B46">
        <f t="shared" si="1"/>
        <v>45</v>
      </c>
      <c r="C46">
        <f t="shared" si="2"/>
        <v>0.53488372093023251</v>
      </c>
    </row>
    <row r="47" spans="1:3" x14ac:dyDescent="0.35">
      <c r="A47">
        <v>4</v>
      </c>
      <c r="B47">
        <f t="shared" si="1"/>
        <v>46</v>
      </c>
      <c r="C47">
        <f t="shared" si="2"/>
        <v>0.54651162790697672</v>
      </c>
    </row>
    <row r="48" spans="1:3" x14ac:dyDescent="0.35">
      <c r="A48">
        <v>4</v>
      </c>
      <c r="B48">
        <f t="shared" si="1"/>
        <v>47</v>
      </c>
      <c r="C48">
        <f t="shared" si="2"/>
        <v>0.55813953488372092</v>
      </c>
    </row>
    <row r="49" spans="1:3" x14ac:dyDescent="0.35">
      <c r="A49">
        <v>5</v>
      </c>
      <c r="B49">
        <f t="shared" si="1"/>
        <v>48</v>
      </c>
      <c r="C49">
        <f t="shared" si="2"/>
        <v>0.56976744186046513</v>
      </c>
    </row>
    <row r="50" spans="1:3" x14ac:dyDescent="0.35">
      <c r="A50">
        <v>5</v>
      </c>
      <c r="B50">
        <f t="shared" si="1"/>
        <v>49</v>
      </c>
      <c r="C50">
        <f t="shared" si="2"/>
        <v>0.58139534883720934</v>
      </c>
    </row>
    <row r="51" spans="1:3" x14ac:dyDescent="0.35">
      <c r="A51">
        <v>5</v>
      </c>
      <c r="B51">
        <f t="shared" si="1"/>
        <v>50</v>
      </c>
      <c r="C51">
        <f t="shared" si="2"/>
        <v>0.59302325581395354</v>
      </c>
    </row>
    <row r="52" spans="1:3" x14ac:dyDescent="0.35">
      <c r="A52">
        <v>5</v>
      </c>
      <c r="B52">
        <f t="shared" si="1"/>
        <v>51</v>
      </c>
      <c r="C52">
        <f t="shared" si="2"/>
        <v>0.60465116279069764</v>
      </c>
    </row>
    <row r="53" spans="1:3" x14ac:dyDescent="0.35">
      <c r="A53">
        <v>6</v>
      </c>
      <c r="B53">
        <f t="shared" si="1"/>
        <v>52</v>
      </c>
      <c r="C53">
        <f t="shared" si="2"/>
        <v>0.61627906976744184</v>
      </c>
    </row>
    <row r="54" spans="1:3" x14ac:dyDescent="0.35">
      <c r="A54">
        <v>6</v>
      </c>
      <c r="B54">
        <f t="shared" si="1"/>
        <v>53</v>
      </c>
      <c r="C54">
        <f t="shared" si="2"/>
        <v>0.62790697674418605</v>
      </c>
    </row>
    <row r="55" spans="1:3" x14ac:dyDescent="0.35">
      <c r="A55">
        <v>7</v>
      </c>
      <c r="B55">
        <f t="shared" si="1"/>
        <v>54</v>
      </c>
      <c r="C55">
        <f t="shared" si="2"/>
        <v>0.63953488372093026</v>
      </c>
    </row>
    <row r="56" spans="1:3" x14ac:dyDescent="0.35">
      <c r="A56">
        <v>7</v>
      </c>
      <c r="B56">
        <f t="shared" si="1"/>
        <v>55</v>
      </c>
      <c r="C56">
        <f t="shared" si="2"/>
        <v>0.65116279069767447</v>
      </c>
    </row>
    <row r="57" spans="1:3" x14ac:dyDescent="0.35">
      <c r="A57">
        <v>7</v>
      </c>
      <c r="B57">
        <f t="shared" si="1"/>
        <v>56</v>
      </c>
      <c r="C57">
        <f t="shared" si="2"/>
        <v>0.66279069767441856</v>
      </c>
    </row>
    <row r="58" spans="1:3" x14ac:dyDescent="0.35">
      <c r="A58">
        <v>8</v>
      </c>
      <c r="B58">
        <f t="shared" si="1"/>
        <v>57</v>
      </c>
      <c r="C58">
        <f t="shared" si="2"/>
        <v>0.67441860465116277</v>
      </c>
    </row>
    <row r="59" spans="1:3" x14ac:dyDescent="0.35">
      <c r="A59">
        <v>8</v>
      </c>
      <c r="B59">
        <f t="shared" si="1"/>
        <v>58</v>
      </c>
      <c r="C59">
        <f t="shared" si="2"/>
        <v>0.68604651162790697</v>
      </c>
    </row>
    <row r="60" spans="1:3" x14ac:dyDescent="0.35">
      <c r="A60">
        <v>8</v>
      </c>
      <c r="B60">
        <f t="shared" si="1"/>
        <v>59</v>
      </c>
      <c r="C60">
        <f t="shared" si="2"/>
        <v>0.69767441860465118</v>
      </c>
    </row>
    <row r="61" spans="1:3" x14ac:dyDescent="0.35">
      <c r="A61">
        <v>9</v>
      </c>
      <c r="B61">
        <f t="shared" si="1"/>
        <v>60</v>
      </c>
      <c r="C61">
        <f t="shared" si="2"/>
        <v>0.70930232558139539</v>
      </c>
    </row>
    <row r="62" spans="1:3" x14ac:dyDescent="0.35">
      <c r="A62">
        <v>9</v>
      </c>
      <c r="B62">
        <f t="shared" si="1"/>
        <v>61</v>
      </c>
      <c r="C62">
        <f t="shared" si="2"/>
        <v>0.72093023255813948</v>
      </c>
    </row>
    <row r="63" spans="1:3" x14ac:dyDescent="0.35">
      <c r="A63">
        <v>9</v>
      </c>
      <c r="B63">
        <f t="shared" si="1"/>
        <v>62</v>
      </c>
      <c r="C63">
        <f t="shared" si="2"/>
        <v>0.73255813953488369</v>
      </c>
    </row>
    <row r="64" spans="1:3" x14ac:dyDescent="0.35">
      <c r="A64">
        <v>10</v>
      </c>
      <c r="B64">
        <f t="shared" si="1"/>
        <v>63</v>
      </c>
      <c r="C64">
        <f t="shared" si="2"/>
        <v>0.7441860465116279</v>
      </c>
    </row>
    <row r="65" spans="1:3" x14ac:dyDescent="0.35">
      <c r="A65">
        <v>10</v>
      </c>
      <c r="B65">
        <f t="shared" si="1"/>
        <v>64</v>
      </c>
      <c r="C65">
        <f t="shared" si="2"/>
        <v>0.7558139534883721</v>
      </c>
    </row>
    <row r="66" spans="1:3" x14ac:dyDescent="0.35">
      <c r="A66">
        <v>12</v>
      </c>
      <c r="B66">
        <f t="shared" si="1"/>
        <v>65</v>
      </c>
      <c r="C66">
        <f t="shared" ref="C66:C86" si="3">B67/COUNT($A:$A)</f>
        <v>0.76744186046511631</v>
      </c>
    </row>
    <row r="67" spans="1:3" x14ac:dyDescent="0.35">
      <c r="A67">
        <v>14</v>
      </c>
      <c r="B67">
        <f t="shared" ref="B67:B87" si="4">ROW()-1</f>
        <v>66</v>
      </c>
      <c r="C67">
        <f t="shared" si="3"/>
        <v>0.77906976744186052</v>
      </c>
    </row>
    <row r="68" spans="1:3" x14ac:dyDescent="0.35">
      <c r="A68">
        <v>15</v>
      </c>
      <c r="B68">
        <f t="shared" si="4"/>
        <v>67</v>
      </c>
      <c r="C68">
        <f t="shared" si="3"/>
        <v>0.79069767441860461</v>
      </c>
    </row>
    <row r="69" spans="1:3" x14ac:dyDescent="0.35">
      <c r="A69">
        <v>15</v>
      </c>
      <c r="B69">
        <f t="shared" si="4"/>
        <v>68</v>
      </c>
      <c r="C69">
        <f t="shared" si="3"/>
        <v>0.80232558139534882</v>
      </c>
    </row>
    <row r="70" spans="1:3" x14ac:dyDescent="0.35">
      <c r="A70">
        <v>16</v>
      </c>
      <c r="B70">
        <f t="shared" si="4"/>
        <v>69</v>
      </c>
      <c r="C70">
        <f t="shared" si="3"/>
        <v>0.81395348837209303</v>
      </c>
    </row>
    <row r="71" spans="1:3" x14ac:dyDescent="0.35">
      <c r="A71">
        <v>16</v>
      </c>
      <c r="B71">
        <f t="shared" si="4"/>
        <v>70</v>
      </c>
      <c r="C71">
        <f t="shared" si="3"/>
        <v>0.82558139534883723</v>
      </c>
    </row>
    <row r="72" spans="1:3" x14ac:dyDescent="0.35">
      <c r="A72">
        <v>16</v>
      </c>
      <c r="B72">
        <f t="shared" si="4"/>
        <v>71</v>
      </c>
      <c r="C72">
        <f t="shared" si="3"/>
        <v>0.83720930232558144</v>
      </c>
    </row>
    <row r="73" spans="1:3" x14ac:dyDescent="0.35">
      <c r="A73">
        <v>18</v>
      </c>
      <c r="B73">
        <f t="shared" si="4"/>
        <v>72</v>
      </c>
      <c r="C73">
        <f t="shared" si="3"/>
        <v>0.84883720930232553</v>
      </c>
    </row>
    <row r="74" spans="1:3" x14ac:dyDescent="0.35">
      <c r="A74">
        <v>18</v>
      </c>
      <c r="B74">
        <f t="shared" si="4"/>
        <v>73</v>
      </c>
      <c r="C74">
        <f t="shared" si="3"/>
        <v>0.86046511627906974</v>
      </c>
    </row>
    <row r="75" spans="1:3" x14ac:dyDescent="0.35">
      <c r="A75">
        <v>27</v>
      </c>
      <c r="B75">
        <f t="shared" si="4"/>
        <v>74</v>
      </c>
      <c r="C75">
        <f t="shared" si="3"/>
        <v>0.87209302325581395</v>
      </c>
    </row>
    <row r="76" spans="1:3" x14ac:dyDescent="0.35">
      <c r="A76">
        <v>29</v>
      </c>
      <c r="B76">
        <f t="shared" si="4"/>
        <v>75</v>
      </c>
      <c r="C76">
        <f t="shared" si="3"/>
        <v>0.88372093023255816</v>
      </c>
    </row>
    <row r="77" spans="1:3" x14ac:dyDescent="0.35">
      <c r="A77">
        <v>32</v>
      </c>
      <c r="B77">
        <f t="shared" si="4"/>
        <v>76</v>
      </c>
      <c r="C77">
        <f t="shared" si="3"/>
        <v>0.89534883720930236</v>
      </c>
    </row>
    <row r="78" spans="1:3" x14ac:dyDescent="0.35">
      <c r="A78">
        <v>35</v>
      </c>
      <c r="B78">
        <f t="shared" si="4"/>
        <v>77</v>
      </c>
      <c r="C78">
        <f t="shared" si="3"/>
        <v>0.90697674418604646</v>
      </c>
    </row>
    <row r="79" spans="1:3" x14ac:dyDescent="0.35">
      <c r="A79">
        <v>41</v>
      </c>
      <c r="B79">
        <f t="shared" si="4"/>
        <v>78</v>
      </c>
      <c r="C79">
        <f t="shared" si="3"/>
        <v>0.91860465116279066</v>
      </c>
    </row>
    <row r="80" spans="1:3" x14ac:dyDescent="0.35">
      <c r="A80">
        <v>41</v>
      </c>
      <c r="B80">
        <f t="shared" si="4"/>
        <v>79</v>
      </c>
      <c r="C80">
        <f t="shared" si="3"/>
        <v>0.93023255813953487</v>
      </c>
    </row>
    <row r="81" spans="1:3" x14ac:dyDescent="0.35">
      <c r="A81">
        <v>54</v>
      </c>
      <c r="B81">
        <f t="shared" si="4"/>
        <v>80</v>
      </c>
      <c r="C81">
        <f t="shared" si="3"/>
        <v>0.94186046511627908</v>
      </c>
    </row>
    <row r="82" spans="1:3" x14ac:dyDescent="0.35">
      <c r="A82">
        <v>54</v>
      </c>
      <c r="B82">
        <f t="shared" si="4"/>
        <v>81</v>
      </c>
      <c r="C82">
        <f t="shared" si="3"/>
        <v>0.95348837209302328</v>
      </c>
    </row>
    <row r="83" spans="1:3" x14ac:dyDescent="0.35">
      <c r="A83">
        <v>68</v>
      </c>
      <c r="B83">
        <f t="shared" si="4"/>
        <v>82</v>
      </c>
      <c r="C83">
        <f t="shared" si="3"/>
        <v>0.96511627906976749</v>
      </c>
    </row>
    <row r="84" spans="1:3" x14ac:dyDescent="0.35">
      <c r="A84">
        <v>74</v>
      </c>
      <c r="B84">
        <f t="shared" si="4"/>
        <v>83</v>
      </c>
      <c r="C84">
        <f t="shared" si="3"/>
        <v>0.97674418604651159</v>
      </c>
    </row>
    <row r="85" spans="1:3" x14ac:dyDescent="0.35">
      <c r="A85">
        <v>78</v>
      </c>
      <c r="B85">
        <f t="shared" si="4"/>
        <v>84</v>
      </c>
      <c r="C85">
        <f t="shared" si="3"/>
        <v>0.98837209302325579</v>
      </c>
    </row>
    <row r="86" spans="1:3" x14ac:dyDescent="0.35">
      <c r="A86">
        <v>101</v>
      </c>
      <c r="B86">
        <f t="shared" si="4"/>
        <v>85</v>
      </c>
      <c r="C86">
        <f t="shared" si="3"/>
        <v>1</v>
      </c>
    </row>
    <row r="87" spans="1:3" x14ac:dyDescent="0.35">
      <c r="A87">
        <v>234</v>
      </c>
      <c r="B87">
        <f t="shared" si="4"/>
        <v>86</v>
      </c>
      <c r="C87">
        <f>B1/COUNT($A:$A)</f>
        <v>0</v>
      </c>
    </row>
  </sheetData>
  <sortState xmlns:xlrd2="http://schemas.microsoft.com/office/spreadsheetml/2017/richdata2" ref="A2:A88">
    <sortCondition ref="A2:A88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89C0-7227-40FC-9C72-BF9C2AB691DE}">
  <dimension ref="A1:C87"/>
  <sheetViews>
    <sheetView workbookViewId="0">
      <selection activeCell="F21" sqref="F21"/>
    </sheetView>
  </sheetViews>
  <sheetFormatPr defaultRowHeight="14.5" x14ac:dyDescent="0.35"/>
  <sheetData>
    <row r="1" spans="1:3" x14ac:dyDescent="0.35">
      <c r="A1" t="s">
        <v>4</v>
      </c>
    </row>
    <row r="2" spans="1:3" x14ac:dyDescent="0.35">
      <c r="A2">
        <v>0</v>
      </c>
      <c r="B2">
        <f>ROW()-1</f>
        <v>1</v>
      </c>
      <c r="C2">
        <f>B2/COUNT($A:$A)</f>
        <v>1.1627906976744186E-2</v>
      </c>
    </row>
    <row r="3" spans="1:3" x14ac:dyDescent="0.35">
      <c r="A3">
        <v>0</v>
      </c>
      <c r="B3">
        <f t="shared" ref="B3:B66" si="0">ROW()-1</f>
        <v>2</v>
      </c>
      <c r="C3">
        <f t="shared" ref="C3:C66" si="1">B3/COUNT($A:$A)</f>
        <v>2.3255813953488372E-2</v>
      </c>
    </row>
    <row r="4" spans="1:3" x14ac:dyDescent="0.35">
      <c r="A4">
        <v>0</v>
      </c>
      <c r="B4">
        <f t="shared" si="0"/>
        <v>3</v>
      </c>
      <c r="C4">
        <f t="shared" si="1"/>
        <v>3.4883720930232558E-2</v>
      </c>
    </row>
    <row r="5" spans="1:3" x14ac:dyDescent="0.35">
      <c r="A5">
        <v>0</v>
      </c>
      <c r="B5">
        <f t="shared" si="0"/>
        <v>4</v>
      </c>
      <c r="C5">
        <f t="shared" si="1"/>
        <v>4.6511627906976744E-2</v>
      </c>
    </row>
    <row r="6" spans="1:3" x14ac:dyDescent="0.35">
      <c r="A6">
        <v>0</v>
      </c>
      <c r="B6">
        <f t="shared" si="0"/>
        <v>5</v>
      </c>
      <c r="C6">
        <f t="shared" si="1"/>
        <v>5.8139534883720929E-2</v>
      </c>
    </row>
    <row r="7" spans="1:3" x14ac:dyDescent="0.35">
      <c r="A7">
        <v>0</v>
      </c>
      <c r="B7">
        <f t="shared" si="0"/>
        <v>6</v>
      </c>
      <c r="C7">
        <f t="shared" si="1"/>
        <v>6.9767441860465115E-2</v>
      </c>
    </row>
    <row r="8" spans="1:3" x14ac:dyDescent="0.35">
      <c r="A8">
        <v>0</v>
      </c>
      <c r="B8">
        <f t="shared" si="0"/>
        <v>7</v>
      </c>
      <c r="C8">
        <f t="shared" si="1"/>
        <v>8.1395348837209308E-2</v>
      </c>
    </row>
    <row r="9" spans="1:3" x14ac:dyDescent="0.35">
      <c r="A9">
        <v>0</v>
      </c>
      <c r="B9">
        <f t="shared" si="0"/>
        <v>8</v>
      </c>
      <c r="C9">
        <f t="shared" si="1"/>
        <v>9.3023255813953487E-2</v>
      </c>
    </row>
    <row r="10" spans="1:3" x14ac:dyDescent="0.35">
      <c r="A10">
        <v>0</v>
      </c>
      <c r="B10">
        <f t="shared" si="0"/>
        <v>9</v>
      </c>
      <c r="C10">
        <f t="shared" si="1"/>
        <v>0.10465116279069768</v>
      </c>
    </row>
    <row r="11" spans="1:3" x14ac:dyDescent="0.35">
      <c r="A11">
        <v>0</v>
      </c>
      <c r="B11">
        <f t="shared" si="0"/>
        <v>10</v>
      </c>
      <c r="C11">
        <f t="shared" si="1"/>
        <v>0.11627906976744186</v>
      </c>
    </row>
    <row r="12" spans="1:3" x14ac:dyDescent="0.35">
      <c r="A12">
        <v>0</v>
      </c>
      <c r="B12">
        <f t="shared" si="0"/>
        <v>11</v>
      </c>
      <c r="C12">
        <f t="shared" si="1"/>
        <v>0.12790697674418605</v>
      </c>
    </row>
    <row r="13" spans="1:3" x14ac:dyDescent="0.35">
      <c r="A13">
        <v>0</v>
      </c>
      <c r="B13">
        <f t="shared" si="0"/>
        <v>12</v>
      </c>
      <c r="C13">
        <f t="shared" si="1"/>
        <v>0.13953488372093023</v>
      </c>
    </row>
    <row r="14" spans="1:3" x14ac:dyDescent="0.35">
      <c r="A14">
        <v>0</v>
      </c>
      <c r="B14">
        <f t="shared" si="0"/>
        <v>13</v>
      </c>
      <c r="C14">
        <f t="shared" si="1"/>
        <v>0.15116279069767441</v>
      </c>
    </row>
    <row r="15" spans="1:3" x14ac:dyDescent="0.35">
      <c r="A15">
        <v>0</v>
      </c>
      <c r="B15">
        <f t="shared" si="0"/>
        <v>14</v>
      </c>
      <c r="C15">
        <f t="shared" si="1"/>
        <v>0.16279069767441862</v>
      </c>
    </row>
    <row r="16" spans="1:3" x14ac:dyDescent="0.35">
      <c r="A16">
        <v>0</v>
      </c>
      <c r="B16">
        <f t="shared" si="0"/>
        <v>15</v>
      </c>
      <c r="C16">
        <f t="shared" si="1"/>
        <v>0.1744186046511628</v>
      </c>
    </row>
    <row r="17" spans="1:3" x14ac:dyDescent="0.35">
      <c r="A17">
        <v>0</v>
      </c>
      <c r="B17">
        <f t="shared" si="0"/>
        <v>16</v>
      </c>
      <c r="C17">
        <f t="shared" si="1"/>
        <v>0.18604651162790697</v>
      </c>
    </row>
    <row r="18" spans="1:3" x14ac:dyDescent="0.35">
      <c r="A18">
        <v>0</v>
      </c>
      <c r="B18">
        <f t="shared" si="0"/>
        <v>17</v>
      </c>
      <c r="C18">
        <f t="shared" si="1"/>
        <v>0.19767441860465115</v>
      </c>
    </row>
    <row r="19" spans="1:3" x14ac:dyDescent="0.35">
      <c r="A19">
        <v>0</v>
      </c>
      <c r="B19">
        <f t="shared" si="0"/>
        <v>18</v>
      </c>
      <c r="C19">
        <f t="shared" si="1"/>
        <v>0.20930232558139536</v>
      </c>
    </row>
    <row r="20" spans="1:3" x14ac:dyDescent="0.35">
      <c r="A20">
        <v>0</v>
      </c>
      <c r="B20">
        <f t="shared" si="0"/>
        <v>19</v>
      </c>
      <c r="C20">
        <f t="shared" si="1"/>
        <v>0.22093023255813954</v>
      </c>
    </row>
    <row r="21" spans="1:3" x14ac:dyDescent="0.35">
      <c r="A21">
        <v>0</v>
      </c>
      <c r="B21">
        <f t="shared" si="0"/>
        <v>20</v>
      </c>
      <c r="C21">
        <f t="shared" si="1"/>
        <v>0.23255813953488372</v>
      </c>
    </row>
    <row r="22" spans="1:3" x14ac:dyDescent="0.35">
      <c r="A22">
        <v>0</v>
      </c>
      <c r="B22">
        <f t="shared" si="0"/>
        <v>21</v>
      </c>
      <c r="C22">
        <f t="shared" si="1"/>
        <v>0.2441860465116279</v>
      </c>
    </row>
    <row r="23" spans="1:3" x14ac:dyDescent="0.35">
      <c r="A23">
        <v>0</v>
      </c>
      <c r="B23">
        <f t="shared" si="0"/>
        <v>22</v>
      </c>
      <c r="C23">
        <f t="shared" si="1"/>
        <v>0.2558139534883721</v>
      </c>
    </row>
    <row r="24" spans="1:3" x14ac:dyDescent="0.35">
      <c r="A24">
        <v>0</v>
      </c>
      <c r="B24">
        <f t="shared" si="0"/>
        <v>23</v>
      </c>
      <c r="C24">
        <f t="shared" si="1"/>
        <v>0.26744186046511625</v>
      </c>
    </row>
    <row r="25" spans="1:3" x14ac:dyDescent="0.35">
      <c r="A25">
        <v>0</v>
      </c>
      <c r="B25">
        <f t="shared" si="0"/>
        <v>24</v>
      </c>
      <c r="C25">
        <f t="shared" si="1"/>
        <v>0.27906976744186046</v>
      </c>
    </row>
    <row r="26" spans="1:3" x14ac:dyDescent="0.35">
      <c r="A26">
        <v>0</v>
      </c>
      <c r="B26">
        <f t="shared" si="0"/>
        <v>25</v>
      </c>
      <c r="C26">
        <f t="shared" si="1"/>
        <v>0.29069767441860467</v>
      </c>
    </row>
    <row r="27" spans="1:3" x14ac:dyDescent="0.35">
      <c r="A27">
        <v>0</v>
      </c>
      <c r="B27">
        <f t="shared" si="0"/>
        <v>26</v>
      </c>
      <c r="C27">
        <f t="shared" si="1"/>
        <v>0.30232558139534882</v>
      </c>
    </row>
    <row r="28" spans="1:3" x14ac:dyDescent="0.35">
      <c r="A28">
        <v>0</v>
      </c>
      <c r="B28">
        <f t="shared" si="0"/>
        <v>27</v>
      </c>
      <c r="C28">
        <f t="shared" si="1"/>
        <v>0.31395348837209303</v>
      </c>
    </row>
    <row r="29" spans="1:3" x14ac:dyDescent="0.35">
      <c r="A29">
        <v>0</v>
      </c>
      <c r="B29">
        <f t="shared" si="0"/>
        <v>28</v>
      </c>
      <c r="C29">
        <f t="shared" si="1"/>
        <v>0.32558139534883723</v>
      </c>
    </row>
    <row r="30" spans="1:3" x14ac:dyDescent="0.35">
      <c r="A30">
        <v>0</v>
      </c>
      <c r="B30">
        <f t="shared" si="0"/>
        <v>29</v>
      </c>
      <c r="C30">
        <f t="shared" si="1"/>
        <v>0.33720930232558138</v>
      </c>
    </row>
    <row r="31" spans="1:3" x14ac:dyDescent="0.35">
      <c r="A31">
        <v>0</v>
      </c>
      <c r="B31">
        <f t="shared" si="0"/>
        <v>30</v>
      </c>
      <c r="C31">
        <f t="shared" si="1"/>
        <v>0.34883720930232559</v>
      </c>
    </row>
    <row r="32" spans="1:3" x14ac:dyDescent="0.35">
      <c r="A32">
        <v>0</v>
      </c>
      <c r="B32">
        <f t="shared" si="0"/>
        <v>31</v>
      </c>
      <c r="C32">
        <f t="shared" si="1"/>
        <v>0.36046511627906974</v>
      </c>
    </row>
    <row r="33" spans="1:3" x14ac:dyDescent="0.35">
      <c r="A33">
        <v>0</v>
      </c>
      <c r="B33">
        <f t="shared" si="0"/>
        <v>32</v>
      </c>
      <c r="C33">
        <f t="shared" si="1"/>
        <v>0.37209302325581395</v>
      </c>
    </row>
    <row r="34" spans="1:3" x14ac:dyDescent="0.35">
      <c r="A34">
        <v>0</v>
      </c>
      <c r="B34">
        <f t="shared" si="0"/>
        <v>33</v>
      </c>
      <c r="C34">
        <f t="shared" si="1"/>
        <v>0.38372093023255816</v>
      </c>
    </row>
    <row r="35" spans="1:3" x14ac:dyDescent="0.35">
      <c r="A35">
        <v>0</v>
      </c>
      <c r="B35">
        <f t="shared" si="0"/>
        <v>34</v>
      </c>
      <c r="C35">
        <f t="shared" si="1"/>
        <v>0.39534883720930231</v>
      </c>
    </row>
    <row r="36" spans="1:3" x14ac:dyDescent="0.35">
      <c r="A36">
        <v>0</v>
      </c>
      <c r="B36">
        <f t="shared" si="0"/>
        <v>35</v>
      </c>
      <c r="C36">
        <f t="shared" si="1"/>
        <v>0.40697674418604651</v>
      </c>
    </row>
    <row r="37" spans="1:3" x14ac:dyDescent="0.35">
      <c r="A37">
        <v>0</v>
      </c>
      <c r="B37">
        <f t="shared" si="0"/>
        <v>36</v>
      </c>
      <c r="C37">
        <f t="shared" si="1"/>
        <v>0.41860465116279072</v>
      </c>
    </row>
    <row r="38" spans="1:3" x14ac:dyDescent="0.35">
      <c r="A38">
        <v>0</v>
      </c>
      <c r="B38">
        <f t="shared" si="0"/>
        <v>37</v>
      </c>
      <c r="C38">
        <f t="shared" si="1"/>
        <v>0.43023255813953487</v>
      </c>
    </row>
    <row r="39" spans="1:3" x14ac:dyDescent="0.35">
      <c r="A39">
        <v>0</v>
      </c>
      <c r="B39">
        <f t="shared" si="0"/>
        <v>38</v>
      </c>
      <c r="C39">
        <f t="shared" si="1"/>
        <v>0.44186046511627908</v>
      </c>
    </row>
    <row r="40" spans="1:3" x14ac:dyDescent="0.35">
      <c r="A40">
        <v>0</v>
      </c>
      <c r="B40">
        <f t="shared" si="0"/>
        <v>39</v>
      </c>
      <c r="C40">
        <f t="shared" si="1"/>
        <v>0.45348837209302323</v>
      </c>
    </row>
    <row r="41" spans="1:3" x14ac:dyDescent="0.35">
      <c r="A41">
        <v>0</v>
      </c>
      <c r="B41">
        <f t="shared" si="0"/>
        <v>40</v>
      </c>
      <c r="C41">
        <f t="shared" si="1"/>
        <v>0.46511627906976744</v>
      </c>
    </row>
    <row r="42" spans="1:3" x14ac:dyDescent="0.35">
      <c r="A42">
        <v>0</v>
      </c>
      <c r="B42">
        <f t="shared" si="0"/>
        <v>41</v>
      </c>
      <c r="C42">
        <f t="shared" si="1"/>
        <v>0.47674418604651164</v>
      </c>
    </row>
    <row r="43" spans="1:3" x14ac:dyDescent="0.35">
      <c r="A43">
        <v>0</v>
      </c>
      <c r="B43">
        <f t="shared" si="0"/>
        <v>42</v>
      </c>
      <c r="C43">
        <f t="shared" si="1"/>
        <v>0.48837209302325579</v>
      </c>
    </row>
    <row r="44" spans="1:3" x14ac:dyDescent="0.35">
      <c r="A44">
        <v>0</v>
      </c>
      <c r="B44">
        <f t="shared" si="0"/>
        <v>43</v>
      </c>
      <c r="C44">
        <f t="shared" si="1"/>
        <v>0.5</v>
      </c>
    </row>
    <row r="45" spans="1:3" x14ac:dyDescent="0.35">
      <c r="A45">
        <v>0</v>
      </c>
      <c r="B45">
        <f t="shared" si="0"/>
        <v>44</v>
      </c>
      <c r="C45">
        <f t="shared" si="1"/>
        <v>0.51162790697674421</v>
      </c>
    </row>
    <row r="46" spans="1:3" x14ac:dyDescent="0.35">
      <c r="A46">
        <v>0</v>
      </c>
      <c r="B46">
        <f t="shared" si="0"/>
        <v>45</v>
      </c>
      <c r="C46">
        <f t="shared" si="1"/>
        <v>0.52325581395348841</v>
      </c>
    </row>
    <row r="47" spans="1:3" x14ac:dyDescent="0.35">
      <c r="A47">
        <v>0</v>
      </c>
      <c r="B47">
        <f t="shared" si="0"/>
        <v>46</v>
      </c>
      <c r="C47">
        <f t="shared" si="1"/>
        <v>0.53488372093023251</v>
      </c>
    </row>
    <row r="48" spans="1:3" x14ac:dyDescent="0.35">
      <c r="A48">
        <v>0</v>
      </c>
      <c r="B48">
        <f t="shared" si="0"/>
        <v>47</v>
      </c>
      <c r="C48">
        <f t="shared" si="1"/>
        <v>0.54651162790697672</v>
      </c>
    </row>
    <row r="49" spans="1:3" x14ac:dyDescent="0.35">
      <c r="A49">
        <v>0</v>
      </c>
      <c r="B49">
        <f t="shared" si="0"/>
        <v>48</v>
      </c>
      <c r="C49">
        <f t="shared" si="1"/>
        <v>0.55813953488372092</v>
      </c>
    </row>
    <row r="50" spans="1:3" x14ac:dyDescent="0.35">
      <c r="A50">
        <v>0</v>
      </c>
      <c r="B50">
        <f t="shared" si="0"/>
        <v>49</v>
      </c>
      <c r="C50">
        <f t="shared" si="1"/>
        <v>0.56976744186046513</v>
      </c>
    </row>
    <row r="51" spans="1:3" x14ac:dyDescent="0.35">
      <c r="A51">
        <v>0</v>
      </c>
      <c r="B51">
        <f t="shared" si="0"/>
        <v>50</v>
      </c>
      <c r="C51">
        <f t="shared" si="1"/>
        <v>0.58139534883720934</v>
      </c>
    </row>
    <row r="52" spans="1:3" x14ac:dyDescent="0.35">
      <c r="A52">
        <v>0</v>
      </c>
      <c r="B52">
        <f t="shared" si="0"/>
        <v>51</v>
      </c>
      <c r="C52">
        <f t="shared" si="1"/>
        <v>0.59302325581395354</v>
      </c>
    </row>
    <row r="53" spans="1:3" x14ac:dyDescent="0.35">
      <c r="A53">
        <v>0</v>
      </c>
      <c r="B53">
        <f t="shared" si="0"/>
        <v>52</v>
      </c>
      <c r="C53">
        <f t="shared" si="1"/>
        <v>0.60465116279069764</v>
      </c>
    </row>
    <row r="54" spans="1:3" x14ac:dyDescent="0.35">
      <c r="A54">
        <v>0</v>
      </c>
      <c r="B54">
        <f t="shared" si="0"/>
        <v>53</v>
      </c>
      <c r="C54">
        <f t="shared" si="1"/>
        <v>0.61627906976744184</v>
      </c>
    </row>
    <row r="55" spans="1:3" x14ac:dyDescent="0.35">
      <c r="A55">
        <v>0</v>
      </c>
      <c r="B55">
        <f t="shared" si="0"/>
        <v>54</v>
      </c>
      <c r="C55">
        <f t="shared" si="1"/>
        <v>0.62790697674418605</v>
      </c>
    </row>
    <row r="56" spans="1:3" x14ac:dyDescent="0.35">
      <c r="A56">
        <v>0</v>
      </c>
      <c r="B56">
        <f t="shared" si="0"/>
        <v>55</v>
      </c>
      <c r="C56">
        <f t="shared" si="1"/>
        <v>0.63953488372093026</v>
      </c>
    </row>
    <row r="57" spans="1:3" x14ac:dyDescent="0.35">
      <c r="A57">
        <v>0</v>
      </c>
      <c r="B57">
        <f t="shared" si="0"/>
        <v>56</v>
      </c>
      <c r="C57">
        <f t="shared" si="1"/>
        <v>0.65116279069767447</v>
      </c>
    </row>
    <row r="58" spans="1:3" x14ac:dyDescent="0.35">
      <c r="A58">
        <v>0</v>
      </c>
      <c r="B58">
        <f t="shared" si="0"/>
        <v>57</v>
      </c>
      <c r="C58">
        <f t="shared" si="1"/>
        <v>0.66279069767441856</v>
      </c>
    </row>
    <row r="59" spans="1:3" x14ac:dyDescent="0.35">
      <c r="A59">
        <v>0</v>
      </c>
      <c r="B59">
        <f t="shared" si="0"/>
        <v>58</v>
      </c>
      <c r="C59">
        <f t="shared" si="1"/>
        <v>0.67441860465116277</v>
      </c>
    </row>
    <row r="60" spans="1:3" x14ac:dyDescent="0.35">
      <c r="A60">
        <v>0</v>
      </c>
      <c r="B60">
        <f t="shared" si="0"/>
        <v>59</v>
      </c>
      <c r="C60">
        <f t="shared" si="1"/>
        <v>0.68604651162790697</v>
      </c>
    </row>
    <row r="61" spans="1:3" x14ac:dyDescent="0.35">
      <c r="A61">
        <v>0</v>
      </c>
      <c r="B61">
        <f t="shared" si="0"/>
        <v>60</v>
      </c>
      <c r="C61">
        <f t="shared" si="1"/>
        <v>0.69767441860465118</v>
      </c>
    </row>
    <row r="62" spans="1:3" x14ac:dyDescent="0.35">
      <c r="A62">
        <v>0</v>
      </c>
      <c r="B62">
        <f t="shared" si="0"/>
        <v>61</v>
      </c>
      <c r="C62">
        <f t="shared" si="1"/>
        <v>0.70930232558139539</v>
      </c>
    </row>
    <row r="63" spans="1:3" x14ac:dyDescent="0.35">
      <c r="A63">
        <v>0</v>
      </c>
      <c r="B63">
        <f t="shared" si="0"/>
        <v>62</v>
      </c>
      <c r="C63">
        <f t="shared" si="1"/>
        <v>0.72093023255813948</v>
      </c>
    </row>
    <row r="64" spans="1:3" x14ac:dyDescent="0.35">
      <c r="A64">
        <v>0</v>
      </c>
      <c r="B64">
        <f t="shared" si="0"/>
        <v>63</v>
      </c>
      <c r="C64">
        <f t="shared" si="1"/>
        <v>0.73255813953488369</v>
      </c>
    </row>
    <row r="65" spans="1:3" x14ac:dyDescent="0.35">
      <c r="A65">
        <v>0</v>
      </c>
      <c r="B65">
        <f t="shared" si="0"/>
        <v>64</v>
      </c>
      <c r="C65">
        <f t="shared" si="1"/>
        <v>0.7441860465116279</v>
      </c>
    </row>
    <row r="66" spans="1:3" x14ac:dyDescent="0.35">
      <c r="A66">
        <v>0</v>
      </c>
      <c r="B66">
        <f t="shared" si="0"/>
        <v>65</v>
      </c>
      <c r="C66">
        <f t="shared" si="1"/>
        <v>0.7558139534883721</v>
      </c>
    </row>
    <row r="67" spans="1:3" x14ac:dyDescent="0.35">
      <c r="A67">
        <v>0</v>
      </c>
      <c r="B67">
        <f t="shared" ref="B67:B87" si="2">ROW()-1</f>
        <v>66</v>
      </c>
      <c r="C67">
        <f t="shared" ref="C67:C87" si="3">B67/COUNT($A:$A)</f>
        <v>0.76744186046511631</v>
      </c>
    </row>
    <row r="68" spans="1:3" x14ac:dyDescent="0.35">
      <c r="A68">
        <v>0</v>
      </c>
      <c r="B68">
        <f t="shared" si="2"/>
        <v>67</v>
      </c>
      <c r="C68">
        <f t="shared" si="3"/>
        <v>0.77906976744186052</v>
      </c>
    </row>
    <row r="69" spans="1:3" x14ac:dyDescent="0.35">
      <c r="A69">
        <v>0</v>
      </c>
      <c r="B69">
        <f t="shared" si="2"/>
        <v>68</v>
      </c>
      <c r="C69">
        <f t="shared" si="3"/>
        <v>0.79069767441860461</v>
      </c>
    </row>
    <row r="70" spans="1:3" x14ac:dyDescent="0.35">
      <c r="A70">
        <v>0</v>
      </c>
      <c r="B70">
        <f t="shared" si="2"/>
        <v>69</v>
      </c>
      <c r="C70">
        <f t="shared" si="3"/>
        <v>0.80232558139534882</v>
      </c>
    </row>
    <row r="71" spans="1:3" x14ac:dyDescent="0.35">
      <c r="A71">
        <v>0</v>
      </c>
      <c r="B71">
        <f t="shared" si="2"/>
        <v>70</v>
      </c>
      <c r="C71">
        <f t="shared" si="3"/>
        <v>0.81395348837209303</v>
      </c>
    </row>
    <row r="72" spans="1:3" x14ac:dyDescent="0.35">
      <c r="A72">
        <v>0</v>
      </c>
      <c r="B72">
        <f t="shared" si="2"/>
        <v>71</v>
      </c>
      <c r="C72">
        <f t="shared" si="3"/>
        <v>0.82558139534883723</v>
      </c>
    </row>
    <row r="73" spans="1:3" x14ac:dyDescent="0.35">
      <c r="A73">
        <v>0</v>
      </c>
      <c r="B73">
        <f t="shared" si="2"/>
        <v>72</v>
      </c>
      <c r="C73">
        <f t="shared" si="3"/>
        <v>0.83720930232558144</v>
      </c>
    </row>
    <row r="74" spans="1:3" x14ac:dyDescent="0.35">
      <c r="A74">
        <v>0</v>
      </c>
      <c r="B74">
        <f t="shared" si="2"/>
        <v>73</v>
      </c>
      <c r="C74">
        <f t="shared" si="3"/>
        <v>0.84883720930232553</v>
      </c>
    </row>
    <row r="75" spans="1:3" x14ac:dyDescent="0.35">
      <c r="A75">
        <v>0</v>
      </c>
      <c r="B75">
        <f t="shared" si="2"/>
        <v>74</v>
      </c>
      <c r="C75">
        <f t="shared" si="3"/>
        <v>0.86046511627906974</v>
      </c>
    </row>
    <row r="76" spans="1:3" x14ac:dyDescent="0.35">
      <c r="A76">
        <v>0</v>
      </c>
      <c r="B76">
        <f t="shared" si="2"/>
        <v>75</v>
      </c>
      <c r="C76">
        <f t="shared" si="3"/>
        <v>0.87209302325581395</v>
      </c>
    </row>
    <row r="77" spans="1:3" x14ac:dyDescent="0.35">
      <c r="A77">
        <v>0</v>
      </c>
      <c r="B77">
        <f t="shared" si="2"/>
        <v>76</v>
      </c>
      <c r="C77">
        <f t="shared" si="3"/>
        <v>0.88372093023255816</v>
      </c>
    </row>
    <row r="78" spans="1:3" x14ac:dyDescent="0.35">
      <c r="A78">
        <v>0</v>
      </c>
      <c r="B78">
        <f t="shared" si="2"/>
        <v>77</v>
      </c>
      <c r="C78">
        <f t="shared" si="3"/>
        <v>0.89534883720930236</v>
      </c>
    </row>
    <row r="79" spans="1:3" x14ac:dyDescent="0.35">
      <c r="A79">
        <v>1</v>
      </c>
      <c r="B79">
        <f t="shared" si="2"/>
        <v>78</v>
      </c>
      <c r="C79">
        <f t="shared" si="3"/>
        <v>0.90697674418604646</v>
      </c>
    </row>
    <row r="80" spans="1:3" x14ac:dyDescent="0.35">
      <c r="A80">
        <v>2</v>
      </c>
      <c r="B80">
        <f t="shared" si="2"/>
        <v>79</v>
      </c>
      <c r="C80">
        <f t="shared" si="3"/>
        <v>0.91860465116279066</v>
      </c>
    </row>
    <row r="81" spans="1:3" x14ac:dyDescent="0.35">
      <c r="A81">
        <v>5</v>
      </c>
      <c r="B81">
        <f t="shared" si="2"/>
        <v>80</v>
      </c>
      <c r="C81">
        <f t="shared" si="3"/>
        <v>0.93023255813953487</v>
      </c>
    </row>
    <row r="82" spans="1:3" x14ac:dyDescent="0.35">
      <c r="A82">
        <v>8</v>
      </c>
      <c r="B82">
        <f t="shared" si="2"/>
        <v>81</v>
      </c>
      <c r="C82">
        <f t="shared" si="3"/>
        <v>0.94186046511627908</v>
      </c>
    </row>
    <row r="83" spans="1:3" x14ac:dyDescent="0.35">
      <c r="A83">
        <v>28</v>
      </c>
      <c r="B83">
        <f t="shared" si="2"/>
        <v>82</v>
      </c>
      <c r="C83">
        <f t="shared" si="3"/>
        <v>0.95348837209302328</v>
      </c>
    </row>
    <row r="84" spans="1:3" x14ac:dyDescent="0.35">
      <c r="A84">
        <v>28</v>
      </c>
      <c r="B84">
        <f t="shared" si="2"/>
        <v>83</v>
      </c>
      <c r="C84">
        <f t="shared" si="3"/>
        <v>0.96511627906976749</v>
      </c>
    </row>
    <row r="85" spans="1:3" x14ac:dyDescent="0.35">
      <c r="A85">
        <v>60</v>
      </c>
      <c r="B85">
        <f t="shared" si="2"/>
        <v>84</v>
      </c>
      <c r="C85">
        <f t="shared" si="3"/>
        <v>0.97674418604651159</v>
      </c>
    </row>
    <row r="86" spans="1:3" x14ac:dyDescent="0.35">
      <c r="A86">
        <v>70</v>
      </c>
      <c r="B86">
        <f t="shared" si="2"/>
        <v>85</v>
      </c>
      <c r="C86">
        <f t="shared" si="3"/>
        <v>0.98837209302325579</v>
      </c>
    </row>
    <row r="87" spans="1:3" x14ac:dyDescent="0.35">
      <c r="A87">
        <v>110</v>
      </c>
      <c r="B87">
        <f t="shared" si="2"/>
        <v>86</v>
      </c>
      <c r="C87">
        <f t="shared" si="3"/>
        <v>1</v>
      </c>
    </row>
  </sheetData>
  <sortState xmlns:xlrd2="http://schemas.microsoft.com/office/spreadsheetml/2017/richdata2" ref="A2:A88">
    <sortCondition ref="A1:A8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requests_metrics</vt:lpstr>
      <vt:lpstr>TCC_CDF</vt:lpstr>
      <vt:lpstr>NLC_CDF</vt:lpstr>
      <vt:lpstr>CHANGES_CDF</vt:lpstr>
      <vt:lpstr>FANOUT_CDF</vt:lpstr>
      <vt:lpstr>CBO_CDF</vt:lpstr>
      <vt:lpstr>LCOM_CDF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Shivani Vempati</cp:lastModifiedBy>
  <dcterms:created xsi:type="dcterms:W3CDTF">2026-01-29T05:53:25Z</dcterms:created>
  <dcterms:modified xsi:type="dcterms:W3CDTF">2026-01-31T05:29:03Z</dcterms:modified>
</cp:coreProperties>
</file>