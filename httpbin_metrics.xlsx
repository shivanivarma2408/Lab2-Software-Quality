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a36bfeef2d0ccb/Desktop/SAD ASSIGNMENTS/"/>
    </mc:Choice>
  </mc:AlternateContent>
  <xr:revisionPtr revIDLastSave="108" documentId="13_ncr:1_{8A6318F3-0B93-4599-B5DC-28A50E09ADFB}" xr6:coauthVersionLast="47" xr6:coauthVersionMax="47" xr10:uidLastSave="{5872E954-533B-448E-B87D-D4A9713B317E}"/>
  <bookViews>
    <workbookView xWindow="-110" yWindow="-110" windowWidth="19420" windowHeight="11500" firstSheet="1" activeTab="5" xr2:uid="{5C66F796-22F4-402C-BB8C-62A112DDC3A7}"/>
  </bookViews>
  <sheets>
    <sheet name="httpbin_metrics" sheetId="1" r:id="rId1"/>
    <sheet name="LCOM_CDF" sheetId="2" r:id="rId2"/>
    <sheet name="TCC_CDF" sheetId="3" r:id="rId3"/>
    <sheet name="CHANGES_CDF" sheetId="4" r:id="rId4"/>
    <sheet name="NLC_CDF" sheetId="5" r:id="rId5"/>
    <sheet name="FANOUT_CDF" sheetId="6" r:id="rId6"/>
  </sheets>
  <definedNames>
    <definedName name="_xlchart.v1.0" hidden="1">httpbin_metrics!$K$1</definedName>
    <definedName name="_xlchart.v1.1" hidden="1">httpbin_metrics!$K$2:$K$6</definedName>
    <definedName name="_xlchart.v1.10" hidden="1">httpbin_metrics!$F$1</definedName>
    <definedName name="_xlchart.v1.11" hidden="1">httpbin_metrics!$F$2:$F$6</definedName>
    <definedName name="_xlchart.v1.12" hidden="1">httpbin_metrics!$F$1</definedName>
    <definedName name="_xlchart.v1.13" hidden="1">httpbin_metrics!$F$2:$F$6</definedName>
    <definedName name="_xlchart.v1.2" hidden="1">httpbin_metrics!$G$1</definedName>
    <definedName name="_xlchart.v1.3" hidden="1">httpbin_metrics!$G$2:$G$6</definedName>
    <definedName name="_xlchart.v1.4" hidden="1">httpbin_metrics!$N$1</definedName>
    <definedName name="_xlchart.v1.5" hidden="1">httpbin_metrics!$N$2:$N$6</definedName>
    <definedName name="_xlchart.v1.6" hidden="1">httpbin_metrics!$H$1</definedName>
    <definedName name="_xlchart.v1.7" hidden="1">httpbin_metrics!$H$2:$H$6</definedName>
    <definedName name="_xlchart.v1.8" hidden="1">httpbin_metrics!$E$1</definedName>
    <definedName name="_xlchart.v1.9" hidden="1">httpbin_metrics!$E$2:$E$6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5" l="1"/>
  <c r="C3" i="4"/>
  <c r="C3" i="3"/>
  <c r="B3" i="3"/>
  <c r="C3" i="6"/>
  <c r="B3" i="6"/>
  <c r="B3" i="5"/>
  <c r="B3" i="4"/>
  <c r="C3" i="2"/>
  <c r="B3" i="2"/>
  <c r="C2" i="6"/>
  <c r="C2" i="5"/>
  <c r="C2" i="4"/>
  <c r="C2" i="2"/>
  <c r="B2" i="6"/>
  <c r="B2" i="5"/>
  <c r="B2" i="4"/>
  <c r="B2" i="3"/>
  <c r="C2" i="3" s="1"/>
  <c r="B2" i="2"/>
  <c r="U6" i="1"/>
  <c r="T6" i="1"/>
  <c r="S6" i="1"/>
  <c r="R6" i="1"/>
  <c r="Q6" i="1"/>
  <c r="P6" i="1"/>
  <c r="U5" i="1"/>
  <c r="T5" i="1"/>
  <c r="S5" i="1"/>
  <c r="R5" i="1"/>
  <c r="Q5" i="1"/>
  <c r="P5" i="1"/>
  <c r="U4" i="1"/>
  <c r="T4" i="1"/>
  <c r="S4" i="1"/>
  <c r="R4" i="1"/>
  <c r="Q4" i="1"/>
  <c r="P4" i="1"/>
  <c r="U3" i="1"/>
  <c r="T3" i="1"/>
  <c r="S3" i="1"/>
  <c r="R3" i="1"/>
  <c r="Q3" i="1"/>
  <c r="P3" i="1"/>
  <c r="U2" i="1"/>
  <c r="T2" i="1"/>
  <c r="S2" i="1"/>
  <c r="R2" i="1"/>
  <c r="Q2" i="1"/>
  <c r="P2" i="1"/>
</calcChain>
</file>

<file path=xl/sharedStrings.xml><?xml version="1.0" encoding="utf-8"?>
<sst xmlns="http://schemas.openxmlformats.org/spreadsheetml/2006/main" count="34" uniqueCount="29">
  <si>
    <t>class</t>
  </si>
  <si>
    <t>filename</t>
  </si>
  <si>
    <t>loc</t>
  </si>
  <si>
    <t>methods</t>
  </si>
  <si>
    <t>lcom</t>
  </si>
  <si>
    <t>tcc</t>
  </si>
  <si>
    <t>cbo</t>
  </si>
  <si>
    <t>changes</t>
  </si>
  <si>
    <t>lines_added</t>
  </si>
  <si>
    <t>lines_deleted</t>
  </si>
  <si>
    <t>nlc</t>
  </si>
  <si>
    <t>authors</t>
  </si>
  <si>
    <t>fan_in</t>
  </si>
  <si>
    <t>fan_out</t>
  </si>
  <si>
    <t>HttpbinTestCase</t>
  </si>
  <si>
    <t>test_httpbin.py</t>
  </si>
  <si>
    <t>CaseInsensitiveDict</t>
  </si>
  <si>
    <t>httpbin\structures.py</t>
  </si>
  <si>
    <t>LCOM</t>
  </si>
  <si>
    <t>TCC</t>
  </si>
  <si>
    <t>CBO</t>
  </si>
  <si>
    <t>Changes</t>
  </si>
  <si>
    <t>NLC</t>
  </si>
  <si>
    <t>Fan-out</t>
  </si>
  <si>
    <t xml:space="preserve">Mean     </t>
  </si>
  <si>
    <t xml:space="preserve">Median   </t>
  </si>
  <si>
    <t xml:space="preserve">Min     </t>
  </si>
  <si>
    <t xml:space="preserve">Max      </t>
  </si>
  <si>
    <t xml:space="preserve">Std Dev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</si>
</sst>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HTTPBIN LCOM CDF</a:t>
            </a:r>
          </a:p>
        </c:rich>
      </c:tx>
      <c:layout>
        <c:manualLayout>
          <c:xMode val="edge"/>
          <c:yMode val="edge"/>
          <c:x val="0.37853455818022741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LCOM_CDF!$A$1:$A$3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A9-40EB-B6CA-2B4B00C4D76E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LCOM_CDF!$C$1:$C$3</c:f>
              <c:numCache>
                <c:formatCode>General</c:formatCode>
                <c:ptCount val="3"/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A9-40EB-B6CA-2B4B00C4D7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8670640"/>
        <c:axId val="2018672080"/>
      </c:lineChart>
      <c:catAx>
        <c:axId val="2018670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72080"/>
        <c:crosses val="autoZero"/>
        <c:auto val="1"/>
        <c:lblAlgn val="ctr"/>
        <c:lblOffset val="100"/>
        <c:noMultiLvlLbl val="0"/>
      </c:catAx>
      <c:valAx>
        <c:axId val="201867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8670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HTTPBIN TCC CDF</a:t>
            </a:r>
          </a:p>
        </c:rich>
      </c:tx>
      <c:layout>
        <c:manualLayout>
          <c:xMode val="edge"/>
          <c:yMode val="edge"/>
          <c:x val="0.4118678915135607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TCC_CDF!$A$1:$A$3</c:f>
              <c:numCache>
                <c:formatCode>General</c:formatCode>
                <c:ptCount val="3"/>
                <c:pt idx="0">
                  <c:v>0</c:v>
                </c:pt>
                <c:pt idx="1">
                  <c:v>0.33300000000000002</c:v>
                </c:pt>
                <c:pt idx="2">
                  <c:v>0.94299999999999995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4F-4126-BEFC-B0EF8909EF9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TCC_CDF!$C$1:$C$3</c:f>
              <c:numCache>
                <c:formatCode>General</c:formatCode>
                <c:ptCount val="3"/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4F-4126-BEFC-B0EF8909E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2167920"/>
        <c:axId val="1382168400"/>
      </c:lineChart>
      <c:catAx>
        <c:axId val="1382167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8400"/>
        <c:crosses val="autoZero"/>
        <c:auto val="1"/>
        <c:lblAlgn val="ctr"/>
        <c:lblOffset val="100"/>
        <c:noMultiLvlLbl val="0"/>
      </c:catAx>
      <c:valAx>
        <c:axId val="1382168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216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HTTPBIN CHANGES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CHANGES_CDF!$A$1:$A$4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F6A-498F-A65F-DF64257EF7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CHANGES_CDF!$C$1:$C$4</c:f>
              <c:numCache>
                <c:formatCode>General</c:formatCode>
                <c:ptCount val="4"/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F6A-498F-A65F-DF64257EF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9538880"/>
        <c:axId val="2019539360"/>
      </c:lineChart>
      <c:catAx>
        <c:axId val="2019538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39360"/>
        <c:crosses val="autoZero"/>
        <c:auto val="1"/>
        <c:lblAlgn val="ctr"/>
        <c:lblOffset val="100"/>
        <c:noMultiLvlLbl val="0"/>
      </c:catAx>
      <c:valAx>
        <c:axId val="2019539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9538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HTTPBIN NLC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NLC_CDF!$A$1:$A$4</c:f>
              <c:numCache>
                <c:formatCode>General</c:formatCode>
                <c:ptCount val="4"/>
                <c:pt idx="0">
                  <c:v>0</c:v>
                </c:pt>
                <c:pt idx="1">
                  <c:v>5.8</c:v>
                </c:pt>
                <c:pt idx="2">
                  <c:v>14.49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A-4C5A-B2DA-B267A971B7B6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NLC_CDF!$C$1:$C$4</c:f>
              <c:numCache>
                <c:formatCode>General</c:formatCode>
                <c:ptCount val="4"/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A-4C5A-B2DA-B267A971B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041567"/>
        <c:axId val="1132036767"/>
      </c:lineChart>
      <c:catAx>
        <c:axId val="1132041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36767"/>
        <c:crosses val="autoZero"/>
        <c:auto val="1"/>
        <c:lblAlgn val="ctr"/>
        <c:lblOffset val="100"/>
        <c:noMultiLvlLbl val="0"/>
      </c:catAx>
      <c:valAx>
        <c:axId val="113203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04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HTTPBIN FANOUT CDF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FANOUT_CDF!$A$1:$A$3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C2-49EA-8744-915395888EE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FANOUT_CDF!$C$1:$C$3</c:f>
              <c:numCache>
                <c:formatCode>General</c:formatCode>
                <c:ptCount val="3"/>
                <c:pt idx="1">
                  <c:v>0.5</c:v>
                </c:pt>
                <c:pt idx="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C2-49EA-8744-915395888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9740944"/>
        <c:axId val="1959739984"/>
      </c:lineChart>
      <c:catAx>
        <c:axId val="195974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39984"/>
        <c:crosses val="autoZero"/>
        <c:auto val="1"/>
        <c:lblAlgn val="ctr"/>
        <c:lblOffset val="100"/>
        <c:noMultiLvlLbl val="0"/>
      </c:catAx>
      <c:valAx>
        <c:axId val="1959739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74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httpbin_cbo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httpbin_cbo histogram</a:t>
          </a:r>
        </a:p>
      </cx:txPr>
    </cx:title>
    <cx:plotArea>
      <cx:plotAreaRegion>
        <cx:series layoutId="clusteredColumn" uniqueId="{5B8D0DDF-10B2-4B74-9E04-84985D9DD7F7}">
          <cx:tx>
            <cx:txData>
              <cx:f>_xlchart.v1.2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httpbin_lcom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httpbin_lcom histogram</a:t>
          </a:r>
        </a:p>
      </cx:txPr>
    </cx:title>
    <cx:plotArea>
      <cx:plotAreaRegion>
        <cx:series layoutId="clusteredColumn" uniqueId="{D8AAA647-56CF-43D0-A6AE-3F328357D21E}">
          <cx:tx>
            <cx:txData>
              <cx:f>_xlchart.v1.8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httpbin_fanout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httpbin_fanout histogram</a:t>
          </a:r>
        </a:p>
      </cx:txPr>
    </cx:title>
    <cx:plotArea>
      <cx:plotAreaRegion>
        <cx:series layoutId="clusteredColumn" uniqueId="{C1BF71B5-698A-44BE-9C61-87BDA13F9743}">
          <cx:tx>
            <cx:txData>
              <cx:f>_xlchart.v1.4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title pos="t" align="ctr" overlay="0">
      <cx:tx>
        <cx:txData>
          <cx:v>httpbin_changes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httpbin_changes histogram</a:t>
          </a:r>
        </a:p>
      </cx:txPr>
    </cx:title>
    <cx:plotArea>
      <cx:plotAreaRegion>
        <cx:series layoutId="clusteredColumn" uniqueId="{97BDFFEF-7186-4D6A-9C2F-B6077FAD630B}">
          <cx:tx>
            <cx:txData>
              <cx:f>_xlchart.v1.6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httpbin_nlc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httpbin_nlc histogram</a:t>
          </a:r>
        </a:p>
      </cx:txPr>
    </cx:title>
    <cx:plotArea>
      <cx:plotAreaRegion>
        <cx:series layoutId="clusteredColumn" uniqueId="{5117DE70-C39E-467E-B20C-56EA63E7141D}">
          <cx:tx>
            <cx:txData>
              <cx:f>_xlchart.v1.0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httpbin_tcc 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httpbin_tcc histogram</a:t>
          </a:r>
        </a:p>
      </cx:txPr>
    </cx:title>
    <cx:plotArea>
      <cx:plotAreaRegion>
        <cx:series layoutId="clusteredColumn" uniqueId="{B02917D5-454B-4A5B-B4F0-FC915586771A}">
          <cx:tx>
            <cx:txData>
              <cx:f>_xlchart.v1.12</cx:f>
              <cx:v/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130175</xdr:colOff>
      <xdr:row>7</xdr:row>
      <xdr:rowOff>0</xdr:rowOff>
    </xdr:from>
    <xdr:to>
      <xdr:col>13</xdr:col>
      <xdr:colOff>434975</xdr:colOff>
      <xdr:row>21</xdr:row>
      <xdr:rowOff>165100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1127EA3F-9F42-C034-68AD-8157FCAB88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787775" y="12890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14</xdr:col>
      <xdr:colOff>3175</xdr:colOff>
      <xdr:row>6</xdr:row>
      <xdr:rowOff>177800</xdr:rowOff>
    </xdr:from>
    <xdr:to>
      <xdr:col>21</xdr:col>
      <xdr:colOff>307975</xdr:colOff>
      <xdr:row>21</xdr:row>
      <xdr:rowOff>158750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B1EB9B0D-4247-D5EF-A53A-FF0286E3DDB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7575" y="12827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142875</xdr:colOff>
      <xdr:row>22</xdr:row>
      <xdr:rowOff>88900</xdr:rowOff>
    </xdr:from>
    <xdr:to>
      <xdr:col>13</xdr:col>
      <xdr:colOff>447675</xdr:colOff>
      <xdr:row>37</xdr:row>
      <xdr:rowOff>69850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48F734AD-BDD3-8723-E27E-DE524693F22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00475" y="41402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606425</xdr:colOff>
      <xdr:row>22</xdr:row>
      <xdr:rowOff>82550</xdr:rowOff>
    </xdr:from>
    <xdr:to>
      <xdr:col>21</xdr:col>
      <xdr:colOff>301625</xdr:colOff>
      <xdr:row>37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297B7885-A6E9-DC7F-A7EC-7B997A70556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31225" y="4133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542925</xdr:colOff>
      <xdr:row>6</xdr:row>
      <xdr:rowOff>158750</xdr:rowOff>
    </xdr:from>
    <xdr:to>
      <xdr:col>29</xdr:col>
      <xdr:colOff>238125</xdr:colOff>
      <xdr:row>21</xdr:row>
      <xdr:rowOff>139700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551D9701-8DE7-5DAC-CECE-54E998878B4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44525" y="12636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21</xdr:col>
      <xdr:colOff>561975</xdr:colOff>
      <xdr:row>22</xdr:row>
      <xdr:rowOff>82550</xdr:rowOff>
    </xdr:from>
    <xdr:to>
      <xdr:col>29</xdr:col>
      <xdr:colOff>257175</xdr:colOff>
      <xdr:row>37</xdr:row>
      <xdr:rowOff>63500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8622D6D-3E22-8738-E9E0-7987A12B79E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63575" y="41338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CCAE6-93F5-6D4D-3CF8-92F0420353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F27DF0-4D9B-C9C8-B78D-6B3D902CB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98F02B-A832-F28F-5673-03AD636598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955014-9A92-178B-D9EE-58E66BC3A4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4</xdr:row>
      <xdr:rowOff>95250</xdr:rowOff>
    </xdr:from>
    <xdr:to>
      <xdr:col>13</xdr:col>
      <xdr:colOff>231775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78C08-4894-89B3-8D8C-A1B9FFE7B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154D2-8DF2-47C1-98FF-1023AA3F238A}">
  <dimension ref="A1:U6"/>
  <sheetViews>
    <sheetView topLeftCell="B1" workbookViewId="0">
      <selection activeCell="N1" sqref="N1:N1048576"/>
    </sheetView>
  </sheetViews>
  <sheetFormatPr defaultRowHeight="14.5" x14ac:dyDescent="0.35"/>
  <sheetData>
    <row r="1" spans="1:21" x14ac:dyDescent="0.35"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</row>
    <row r="2" spans="1:21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24</v>
      </c>
      <c r="P2">
        <f>AVERAGE(E:E)</f>
        <v>0.5</v>
      </c>
      <c r="Q2">
        <f>AVERAGE(F:F)</f>
        <v>0.63800000000000001</v>
      </c>
      <c r="R2">
        <f>AVERAGE(G:G)</f>
        <v>31.5</v>
      </c>
      <c r="S2">
        <f>AVERAGE(H:H)</f>
        <v>40</v>
      </c>
      <c r="T2">
        <f>AVERAGE(K:K)</f>
        <v>10.145</v>
      </c>
      <c r="U2">
        <f>AVERAGE(N:N)</f>
        <v>0</v>
      </c>
    </row>
    <row r="3" spans="1:21" x14ac:dyDescent="0.35">
      <c r="A3" t="s">
        <v>14</v>
      </c>
      <c r="B3" t="s">
        <v>15</v>
      </c>
      <c r="C3">
        <v>77</v>
      </c>
      <c r="D3">
        <v>75</v>
      </c>
      <c r="E3">
        <v>0</v>
      </c>
      <c r="F3">
        <v>0.94299999999999995</v>
      </c>
      <c r="G3">
        <v>58</v>
      </c>
      <c r="H3">
        <v>75</v>
      </c>
      <c r="I3">
        <v>896</v>
      </c>
      <c r="J3">
        <v>191</v>
      </c>
      <c r="K3">
        <v>14.49</v>
      </c>
      <c r="L3">
        <v>31</v>
      </c>
      <c r="M3">
        <v>0</v>
      </c>
      <c r="N3">
        <v>0</v>
      </c>
      <c r="O3" t="s">
        <v>25</v>
      </c>
      <c r="P3">
        <f>MEDIAN(E:E)</f>
        <v>0.5</v>
      </c>
      <c r="Q3">
        <f>MEDIAN(F:F)</f>
        <v>0.6379999999999999</v>
      </c>
      <c r="R3">
        <f>MEDIAN(G:G)</f>
        <v>31.5</v>
      </c>
      <c r="S3">
        <f>MEDIAN(H:H)</f>
        <v>40</v>
      </c>
      <c r="T3">
        <f>MEDIAN(K:K)</f>
        <v>10.145</v>
      </c>
      <c r="U3">
        <f>MEDIAN(N:N)</f>
        <v>0</v>
      </c>
    </row>
    <row r="4" spans="1:21" x14ac:dyDescent="0.35">
      <c r="A4" t="s">
        <v>16</v>
      </c>
      <c r="B4" t="s">
        <v>17</v>
      </c>
      <c r="C4">
        <v>4</v>
      </c>
      <c r="D4">
        <v>3</v>
      </c>
      <c r="E4">
        <v>1</v>
      </c>
      <c r="F4">
        <v>0.33300000000000002</v>
      </c>
      <c r="G4">
        <v>5</v>
      </c>
      <c r="H4">
        <v>5</v>
      </c>
      <c r="I4">
        <v>23</v>
      </c>
      <c r="J4">
        <v>6</v>
      </c>
      <c r="K4">
        <v>5.8</v>
      </c>
      <c r="L4">
        <v>3</v>
      </c>
      <c r="M4">
        <v>0</v>
      </c>
      <c r="N4">
        <v>0</v>
      </c>
      <c r="O4" t="s">
        <v>26</v>
      </c>
      <c r="P4">
        <f>MIN(E:E)</f>
        <v>0</v>
      </c>
      <c r="Q4">
        <f>MIN(F:F)</f>
        <v>0.33300000000000002</v>
      </c>
      <c r="R4">
        <f>MIN(G:G)</f>
        <v>5</v>
      </c>
      <c r="S4">
        <f>MIN(H:H)</f>
        <v>5</v>
      </c>
      <c r="T4">
        <f>MIN(K:K)</f>
        <v>5.8</v>
      </c>
      <c r="U4">
        <f>MIN(N:N)</f>
        <v>0</v>
      </c>
    </row>
    <row r="5" spans="1:21" x14ac:dyDescent="0.35">
      <c r="O5" t="s">
        <v>27</v>
      </c>
      <c r="P5">
        <f>MAX(E:E)</f>
        <v>1</v>
      </c>
      <c r="Q5">
        <f>MAX(F:F)</f>
        <v>0.94299999999999995</v>
      </c>
      <c r="R5">
        <f>MAX(G:G)</f>
        <v>58</v>
      </c>
      <c r="S5">
        <f>MAX(H:H)</f>
        <v>75</v>
      </c>
      <c r="T5">
        <f>MAX(K:K)</f>
        <v>14.49</v>
      </c>
      <c r="U5">
        <f>MAX(N:N)</f>
        <v>0</v>
      </c>
    </row>
    <row r="6" spans="1:21" x14ac:dyDescent="0.35">
      <c r="O6" t="s">
        <v>28</v>
      </c>
      <c r="P6">
        <f>_xlfn.STDEV.S(E:E)</f>
        <v>0.70710678118654757</v>
      </c>
      <c r="Q6">
        <f>_xlfn.STDEV.S(F:F)</f>
        <v>0.43133513652379391</v>
      </c>
      <c r="R6">
        <f>_xlfn.STDEV.S(G:G)</f>
        <v>37.476659402887016</v>
      </c>
      <c r="S6">
        <f>_xlfn.STDEV.S(H:H)</f>
        <v>49.497474683058329</v>
      </c>
      <c r="T6">
        <f>_xlfn.STDEV.S(K:K)</f>
        <v>6.1447579285111003</v>
      </c>
      <c r="U6">
        <f>_xlfn.STDEV.S(N:N)</f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B81D6-F607-4329-9373-6DC12566281A}">
  <dimension ref="A1:C3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4</v>
      </c>
    </row>
    <row r="2" spans="1:3" x14ac:dyDescent="0.35">
      <c r="A2">
        <v>0</v>
      </c>
      <c r="B2">
        <f>ROW()-1</f>
        <v>1</v>
      </c>
      <c r="C2">
        <f>B2/COUNT($A:$A)</f>
        <v>0.5</v>
      </c>
    </row>
    <row r="3" spans="1:3" x14ac:dyDescent="0.35">
      <c r="A3">
        <v>1</v>
      </c>
      <c r="B3">
        <f>ROW()-1</f>
        <v>2</v>
      </c>
      <c r="C3">
        <f>B3/COUNT($A:$A)</f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B9606-41BC-4D3A-BB94-277EDF42C65C}">
  <dimension ref="A1:C3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5</v>
      </c>
    </row>
    <row r="2" spans="1:3" x14ac:dyDescent="0.35">
      <c r="A2">
        <v>0.33300000000000002</v>
      </c>
      <c r="B2">
        <f>ROW()-1</f>
        <v>1</v>
      </c>
      <c r="C2">
        <f>B2/COUNT($A:$A)</f>
        <v>0.5</v>
      </c>
    </row>
    <row r="3" spans="1:3" x14ac:dyDescent="0.35">
      <c r="A3">
        <v>0.94299999999999995</v>
      </c>
      <c r="B3">
        <f>ROW()-1</f>
        <v>2</v>
      </c>
      <c r="C3">
        <f>B3/COUNT($A:$A)</f>
        <v>1</v>
      </c>
    </row>
  </sheetData>
  <sortState xmlns:xlrd2="http://schemas.microsoft.com/office/spreadsheetml/2017/richdata2" ref="A2:A3">
    <sortCondition ref="A1:A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555F5-65DE-4C65-AA7D-87FA07471BA5}">
  <dimension ref="A1:C3"/>
  <sheetViews>
    <sheetView workbookViewId="0">
      <selection activeCell="D9" sqref="D9"/>
    </sheetView>
  </sheetViews>
  <sheetFormatPr defaultRowHeight="14.5" x14ac:dyDescent="0.35"/>
  <sheetData>
    <row r="1" spans="1:3" x14ac:dyDescent="0.35">
      <c r="A1" t="s">
        <v>7</v>
      </c>
    </row>
    <row r="2" spans="1:3" x14ac:dyDescent="0.35">
      <c r="A2">
        <v>5</v>
      </c>
      <c r="B2">
        <f>ROW()-1</f>
        <v>1</v>
      </c>
      <c r="C2">
        <f>B2/COUNT($A:$A)</f>
        <v>0.5</v>
      </c>
    </row>
    <row r="3" spans="1:3" x14ac:dyDescent="0.35">
      <c r="A3">
        <v>75</v>
      </c>
      <c r="B3">
        <f>ROW()-1</f>
        <v>2</v>
      </c>
      <c r="C3">
        <f>B3/COUNT($A:$A)</f>
        <v>1</v>
      </c>
    </row>
  </sheetData>
  <sortState xmlns:xlrd2="http://schemas.microsoft.com/office/spreadsheetml/2017/richdata2" ref="A2:A3">
    <sortCondition ref="A1:A3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4AF1D-3219-4C68-895B-3BB45C5220C5}">
  <dimension ref="A1:C3"/>
  <sheetViews>
    <sheetView workbookViewId="0">
      <selection activeCell="C1" activeCellId="1" sqref="A1:A1048576 C1:C1048576"/>
    </sheetView>
  </sheetViews>
  <sheetFormatPr defaultRowHeight="14.5" x14ac:dyDescent="0.35"/>
  <sheetData>
    <row r="1" spans="1:3" x14ac:dyDescent="0.35">
      <c r="A1" t="s">
        <v>10</v>
      </c>
    </row>
    <row r="2" spans="1:3" x14ac:dyDescent="0.35">
      <c r="A2">
        <v>5.8</v>
      </c>
      <c r="B2">
        <f>ROW()-1</f>
        <v>1</v>
      </c>
      <c r="C2">
        <f>B2/COUNT($A:$A)</f>
        <v>0.5</v>
      </c>
    </row>
    <row r="3" spans="1:3" x14ac:dyDescent="0.35">
      <c r="A3">
        <v>14.49</v>
      </c>
      <c r="B3">
        <f>ROW()-1</f>
        <v>2</v>
      </c>
      <c r="C3">
        <f>B3/COUNT($A:$A)</f>
        <v>1</v>
      </c>
    </row>
  </sheetData>
  <sortState xmlns:xlrd2="http://schemas.microsoft.com/office/spreadsheetml/2017/richdata2" ref="A2:A3">
    <sortCondition ref="A1:A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D948D-5169-439C-9BD4-2A43922D8938}">
  <dimension ref="A1:C3"/>
  <sheetViews>
    <sheetView tabSelected="1" workbookViewId="0">
      <selection activeCell="O15" sqref="O15"/>
    </sheetView>
  </sheetViews>
  <sheetFormatPr defaultRowHeight="14.5" x14ac:dyDescent="0.35"/>
  <sheetData>
    <row r="1" spans="1:3" x14ac:dyDescent="0.35">
      <c r="A1" t="s">
        <v>13</v>
      </c>
    </row>
    <row r="2" spans="1:3" x14ac:dyDescent="0.35">
      <c r="A2">
        <v>0</v>
      </c>
      <c r="B2">
        <f>ROW()-1</f>
        <v>1</v>
      </c>
      <c r="C2">
        <f>B2/COUNT($A:$A)</f>
        <v>0.5</v>
      </c>
    </row>
    <row r="3" spans="1:3" x14ac:dyDescent="0.35">
      <c r="A3">
        <v>0</v>
      </c>
      <c r="B3">
        <f>ROW()-1</f>
        <v>2</v>
      </c>
      <c r="C3">
        <f>B3/COUNT($A:$A)</f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httpbin_metrics</vt:lpstr>
      <vt:lpstr>LCOM_CDF</vt:lpstr>
      <vt:lpstr>TCC_CDF</vt:lpstr>
      <vt:lpstr>CHANGES_CDF</vt:lpstr>
      <vt:lpstr>NLC_CDF</vt:lpstr>
      <vt:lpstr>FANOUT_CDF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Shivani Vempati</cp:lastModifiedBy>
  <dcterms:created xsi:type="dcterms:W3CDTF">2026-01-29T05:54:16Z</dcterms:created>
  <dcterms:modified xsi:type="dcterms:W3CDTF">2026-01-31T05:40:14Z</dcterms:modified>
</cp:coreProperties>
</file>